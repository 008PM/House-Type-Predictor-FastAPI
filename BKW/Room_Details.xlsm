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bkwfmbenergie-my.sharepoint.com/personal/manuela_adelberger_assmann_info/Documents/040_KI/Daten TUM.AI x BEN/Projekt 5/LP2/Technisches Raumbuch/"/>
    </mc:Choice>
  </mc:AlternateContent>
  <xr:revisionPtr revIDLastSave="0" documentId="13_ncr:1_{7354F7A2-7B77-4159-9BDE-33F1C679E3EC}" xr6:coauthVersionLast="47" xr6:coauthVersionMax="47" xr10:uidLastSave="{00000000-0000-0000-0000-000000000000}"/>
  <bookViews>
    <workbookView xWindow="-96" yWindow="-96" windowWidth="23232" windowHeight="13872" tabRatio="335" xr2:uid="{00000000-000D-0000-FFFF-FFFF00000000}"/>
  </bookViews>
  <sheets>
    <sheet name="Leistungsermittlung KLT_HZG" sheetId="6" r:id="rId1"/>
    <sheet name="Tabelle1" sheetId="7" r:id="rId2"/>
  </sheets>
  <externalReferences>
    <externalReference r:id="rId3"/>
  </externalReferences>
  <definedNames>
    <definedName name="_xlnm._FilterDatabase" localSheetId="0" hidden="1">'Leistungsermittlung KLT_HZG'!$A$10:$IV$167</definedName>
    <definedName name="_xlnm.Print_Area" localSheetId="0">'Leistungsermittlung KLT_HZG'!$G:$BS</definedName>
    <definedName name="_xlnm.Print_Titles" localSheetId="0">'Leistungsermittlung KLT_HZG'!$F:$N,'Leistungsermittlung KLT_HZG'!$2:$10</definedName>
    <definedName name="ID">#REF!</definedName>
    <definedName name="Z_058C8B9A_E41E_4C05_B942_E84DA0A96CF6_.wvu.Cols" localSheetId="0" hidden="1">'Leistungsermittlung KLT_HZG'!$A:$E,'Leistungsermittlung KLT_HZG'!#REF!,'Leistungsermittlung KLT_HZG'!#REF!,'Leistungsermittlung KLT_HZG'!#REF!,'Leistungsermittlung KLT_HZG'!#REF!,'Leistungsermittlung KLT_HZG'!#REF!,'Leistungsermittlung KLT_HZG'!#REF!,'Leistungsermittlung KLT_HZG'!#REF!,'Leistungsermittlung KLT_HZG'!#REF!,'Leistungsermittlung KLT_HZG'!#REF!</definedName>
    <definedName name="Z_058C8B9A_E41E_4C05_B942_E84DA0A96CF6_.wvu.FilterData" localSheetId="0" hidden="1">'Leistungsermittlung KLT_HZG'!$F$10:$CD$10</definedName>
    <definedName name="Z_058C8B9A_E41E_4C05_B942_E84DA0A96CF6_.wvu.PrintTitles" localSheetId="0" hidden="1">'Leistungsermittlung KLT_HZG'!$F:$N,'Leistungsermittlung KLT_HZG'!$2:$10</definedName>
    <definedName name="Z_058C8B9A_E41E_4C05_B942_E84DA0A96CF6_.wvu.Rows" localSheetId="0" hidden="1">'Leistungsermittlung KLT_HZG'!$1:$1</definedName>
    <definedName name="Z_17935C52_163E_4003_8A87_4231881FB421_.wvu.Cols" localSheetId="0" hidden="1">'Leistungsermittlung KLT_HZG'!$A:$E,'Leistungsermittlung KLT_HZG'!#REF!,'Leistungsermittlung KLT_HZG'!#REF!,'Leistungsermittlung KLT_HZG'!#REF!,'Leistungsermittlung KLT_HZG'!#REF!,'Leistungsermittlung KLT_HZG'!#REF!,'Leistungsermittlung KLT_HZG'!#REF!,'Leistungsermittlung KLT_HZG'!$BK:$CF</definedName>
    <definedName name="Z_17935C52_163E_4003_8A87_4231881FB421_.wvu.FilterData" localSheetId="0" hidden="1">'Leistungsermittlung KLT_HZG'!$F$10:$CD$10</definedName>
    <definedName name="Z_17935C52_163E_4003_8A87_4231881FB421_.wvu.PrintTitles" localSheetId="0" hidden="1">'Leistungsermittlung KLT_HZG'!$F:$N,'Leistungsermittlung KLT_HZG'!$2:$10</definedName>
    <definedName name="Z_17935C52_163E_4003_8A87_4231881FB421_.wvu.Rows" localSheetId="0" hidden="1">'Leistungsermittlung KLT_HZG'!$1:$1</definedName>
    <definedName name="Z_41AC631B_62CE_4886_A92B_7301C63FA8E9_.wvu.Cols" localSheetId="0" hidden="1">'Leistungsermittlung KLT_HZG'!$A:$E,'Leistungsermittlung KLT_HZG'!#REF!,'Leistungsermittlung KLT_HZG'!#REF!,'Leistungsermittlung KLT_HZG'!$Q:$CF</definedName>
    <definedName name="Z_41AC631B_62CE_4886_A92B_7301C63FA8E9_.wvu.FilterData" localSheetId="0" hidden="1">'Leistungsermittlung KLT_HZG'!$F$10:$CD$10</definedName>
    <definedName name="Z_41AC631B_62CE_4886_A92B_7301C63FA8E9_.wvu.PrintTitles" localSheetId="0" hidden="1">'Leistungsermittlung KLT_HZG'!$F:$N,'Leistungsermittlung KLT_HZG'!$2:$10</definedName>
    <definedName name="Z_41AC631B_62CE_4886_A92B_7301C63FA8E9_.wvu.Rows" localSheetId="0" hidden="1">'Leistungsermittlung KLT_HZG'!$1:$1</definedName>
    <definedName name="Z_83598942_3A9A_48BB_840C_3FD13937AF37_.wvu.Cols" localSheetId="0" hidden="1">'Leistungsermittlung KLT_HZG'!$A:$E,'Leistungsermittlung KLT_HZG'!$Q:$BH</definedName>
    <definedName name="Z_83598942_3A9A_48BB_840C_3FD13937AF37_.wvu.FilterData" localSheetId="0" hidden="1">'Leistungsermittlung KLT_HZG'!$F$10:$CD$10</definedName>
    <definedName name="Z_83598942_3A9A_48BB_840C_3FD13937AF37_.wvu.PrintTitles" localSheetId="0" hidden="1">'Leistungsermittlung KLT_HZG'!$F:$N,'Leistungsermittlung KLT_HZG'!$2:$10</definedName>
    <definedName name="Z_83598942_3A9A_48BB_840C_3FD13937AF37_.wvu.Rows" localSheetId="0" hidden="1">'Leistungsermittlung KLT_HZG'!$1:$1</definedName>
    <definedName name="Z_DC1D0405_4B07_4376_A2B5_EA2DDAEC4BD3_.wvu.Cols" localSheetId="0" hidden="1">'Leistungsermittlung KLT_HZG'!$A:$E,'Leistungsermittlung KLT_HZG'!$Q:$BH</definedName>
    <definedName name="Z_DC1D0405_4B07_4376_A2B5_EA2DDAEC4BD3_.wvu.FilterData" localSheetId="0" hidden="1">'Leistungsermittlung KLT_HZG'!$F$10:$CD$10</definedName>
    <definedName name="Z_DC1D0405_4B07_4376_A2B5_EA2DDAEC4BD3_.wvu.PrintTitles" localSheetId="0" hidden="1">'Leistungsermittlung KLT_HZG'!$F:$N,'Leistungsermittlung KLT_HZG'!$2:$10</definedName>
    <definedName name="Z_DC1D0405_4B07_4376_A2B5_EA2DDAEC4BD3_.wvu.Rows" localSheetId="0" hidden="1">'Leistungsermittlung KLT_HZG'!$1:$1</definedName>
    <definedName name="Z_E3882396_F9F8_4BE8_BE00_F51F5CAE56A5_.wvu.Cols" localSheetId="0" hidden="1">'Leistungsermittlung KLT_HZG'!$A:$E,'Leistungsermittlung KLT_HZG'!#REF!,'Leistungsermittlung KLT_HZG'!#REF!,'Leistungsermittlung KLT_HZG'!#REF!,'Leistungsermittlung KLT_HZG'!#REF!,'Leistungsermittlung KLT_HZG'!#REF!,'Leistungsermittlung KLT_HZG'!#REF!,'Leistungsermittlung KLT_HZG'!$BK:$CF</definedName>
    <definedName name="Z_E3882396_F9F8_4BE8_BE00_F51F5CAE56A5_.wvu.FilterData" localSheetId="0" hidden="1">'Leistungsermittlung KLT_HZG'!$F$10:$CD$10</definedName>
    <definedName name="Z_E3882396_F9F8_4BE8_BE00_F51F5CAE56A5_.wvu.PrintTitles" localSheetId="0" hidden="1">'Leistungsermittlung KLT_HZG'!$F:$N,'Leistungsermittlung KLT_HZG'!$2:$10</definedName>
    <definedName name="Z_E3882396_F9F8_4BE8_BE00_F51F5CAE56A5_.wvu.Rows" localSheetId="0" hidden="1">'Leistungsermittlung KLT_HZG'!$1:$1</definedName>
    <definedName name="Z_FEDAFEB2_29AF_4DF7_A8C2_EC6DA04E0BC1_.wvu.Cols" localSheetId="0" hidden="1">'Leistungsermittlung KLT_HZG'!$A:$E,'Leistungsermittlung KLT_HZG'!#REF!,'Leistungsermittlung KLT_HZG'!#REF!,'Leistungsermittlung KLT_HZG'!#REF!,'Leistungsermittlung KLT_HZG'!$Q:$CF</definedName>
    <definedName name="Z_FEDAFEB2_29AF_4DF7_A8C2_EC6DA04E0BC1_.wvu.FilterData" localSheetId="0" hidden="1">'Leistungsermittlung KLT_HZG'!$F$10:$CD$10</definedName>
    <definedName name="Z_FEDAFEB2_29AF_4DF7_A8C2_EC6DA04E0BC1_.wvu.PrintTitles" localSheetId="0" hidden="1">'Leistungsermittlung KLT_HZG'!$F:$N,'Leistungsermittlung KLT_HZG'!$2:$10</definedName>
    <definedName name="Z_FEDAFEB2_29AF_4DF7_A8C2_EC6DA04E0BC1_.wvu.Rows" localSheetId="0" hidden="1">'Leistungsermittlung KLT_HZG'!$1:$1</definedName>
  </definedNames>
  <calcPr calcId="191029"/>
  <customWorkbookViews>
    <customWorkbookView name="HZG" guid="{83598942-3A9A-48BB-840C-3FD13937AF37}" maximized="1" xWindow="-8" yWindow="-8" windowWidth="1936" windowHeight="1056" tabRatio="335" activeSheetId="6"/>
    <customWorkbookView name="HZG + allg." guid="{DC1D0405-4B07-4376-A2B5-EA2DDAEC4BD3}" maximized="1" xWindow="-8" yWindow="-8" windowWidth="1936" windowHeight="1056" tabRatio="335" activeSheetId="6"/>
    <customWorkbookView name="KLT" guid="{E3882396-F9F8-4BE8-BE00-F51F5CAE56A5}" maximized="1" xWindow="-8" yWindow="-8" windowWidth="1936" windowHeight="1056" tabRatio="335" activeSheetId="6"/>
    <customWorkbookView name="KLT + allg." guid="{17935C52-163E-4003-8A87-4231881FB421}" maximized="1" xWindow="-8" yWindow="-8" windowWidth="1936" windowHeight="1056" tabRatio="335" activeSheetId="6"/>
    <customWorkbookView name="RLT" guid="{FEDAFEB2-29AF-4DF7-A8C2-EC6DA04E0BC1}" maximized="1" xWindow="-8" yWindow="-8" windowWidth="1936" windowHeight="1056" tabRatio="335" activeSheetId="6"/>
    <customWorkbookView name="RLT + allg." guid="{41AC631B-62CE-4886-A92B-7301C63FA8E9}" maximized="1" xWindow="-8" yWindow="-8" windowWidth="1936" windowHeight="1056" tabRatio="335" activeSheetId="6"/>
    <customWorkbookView name="Alles anzeigen" guid="{058C8B9A-E41E-4C05-B942-E84DA0A96CF6}" maximized="1" xWindow="-8" yWindow="-8" windowWidth="1936" windowHeight="1056" tabRatio="335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L165" i="6" l="1"/>
  <c r="BO165" i="6" s="1"/>
  <c r="S165" i="6"/>
  <c r="R165" i="6"/>
  <c r="M165" i="6"/>
  <c r="BL164" i="6"/>
  <c r="BO164" i="6" s="1"/>
  <c r="S164" i="6"/>
  <c r="R164" i="6"/>
  <c r="M164" i="6"/>
  <c r="BL163" i="6"/>
  <c r="BO163" i="6" s="1"/>
  <c r="S163" i="6"/>
  <c r="R163" i="6"/>
  <c r="M163" i="6"/>
  <c r="BL162" i="6"/>
  <c r="BO162" i="6" s="1"/>
  <c r="S162" i="6"/>
  <c r="R162" i="6"/>
  <c r="M162" i="6"/>
  <c r="BL161" i="6"/>
  <c r="BO161" i="6" s="1"/>
  <c r="S161" i="6"/>
  <c r="R161" i="6"/>
  <c r="M161" i="6"/>
  <c r="BL160" i="6"/>
  <c r="BO160" i="6" s="1"/>
  <c r="S160" i="6"/>
  <c r="R160" i="6"/>
  <c r="M160" i="6"/>
  <c r="BL159" i="6"/>
  <c r="BO159" i="6" s="1"/>
  <c r="S159" i="6"/>
  <c r="R159" i="6"/>
  <c r="M159" i="6"/>
  <c r="BL158" i="6"/>
  <c r="BO158" i="6" s="1"/>
  <c r="S158" i="6"/>
  <c r="R158" i="6"/>
  <c r="M158" i="6"/>
  <c r="BL157" i="6"/>
  <c r="BO157" i="6" s="1"/>
  <c r="BS157" i="6" s="1"/>
  <c r="S157" i="6"/>
  <c r="R157" i="6"/>
  <c r="M157" i="6"/>
  <c r="BL156" i="6"/>
  <c r="BO156" i="6" s="1"/>
  <c r="BS156" i="6" s="1"/>
  <c r="S156" i="6"/>
  <c r="R156" i="6"/>
  <c r="M156" i="6"/>
  <c r="BL155" i="6"/>
  <c r="BO155" i="6" s="1"/>
  <c r="S155" i="6"/>
  <c r="R155" i="6"/>
  <c r="M155" i="6"/>
  <c r="BL154" i="6"/>
  <c r="BO154" i="6" s="1"/>
  <c r="S154" i="6"/>
  <c r="R154" i="6"/>
  <c r="M154" i="6"/>
  <c r="BL153" i="6"/>
  <c r="BO153" i="6" s="1"/>
  <c r="S153" i="6"/>
  <c r="R153" i="6"/>
  <c r="M153" i="6"/>
  <c r="BL152" i="6"/>
  <c r="BO152" i="6" s="1"/>
  <c r="S152" i="6"/>
  <c r="R152" i="6"/>
  <c r="M152" i="6"/>
  <c r="BL151" i="6"/>
  <c r="BO151" i="6" s="1"/>
  <c r="BQ151" i="6" s="1"/>
  <c r="BS151" i="6" s="1"/>
  <c r="S151" i="6"/>
  <c r="R151" i="6"/>
  <c r="M151" i="6"/>
  <c r="BL150" i="6"/>
  <c r="BO150" i="6" s="1"/>
  <c r="S150" i="6"/>
  <c r="R150" i="6"/>
  <c r="M150" i="6"/>
  <c r="BL149" i="6"/>
  <c r="BO149" i="6" s="1"/>
  <c r="BS149" i="6" s="1"/>
  <c r="S149" i="6"/>
  <c r="R149" i="6"/>
  <c r="M149" i="6"/>
  <c r="BL148" i="6"/>
  <c r="BO148" i="6" s="1"/>
  <c r="S148" i="6"/>
  <c r="R148" i="6"/>
  <c r="M148" i="6"/>
  <c r="BL147" i="6"/>
  <c r="BO147" i="6" s="1"/>
  <c r="S147" i="6"/>
  <c r="R147" i="6"/>
  <c r="M147" i="6"/>
  <c r="BL146" i="6"/>
  <c r="BO146" i="6" s="1"/>
  <c r="BS146" i="6" s="1"/>
  <c r="S146" i="6"/>
  <c r="R146" i="6"/>
  <c r="M146" i="6"/>
  <c r="BL145" i="6"/>
  <c r="BO145" i="6" s="1"/>
  <c r="BS145" i="6" s="1"/>
  <c r="S145" i="6"/>
  <c r="R145" i="6"/>
  <c r="M145" i="6"/>
  <c r="BL144" i="6"/>
  <c r="BO144" i="6" s="1"/>
  <c r="BS144" i="6" s="1"/>
  <c r="S144" i="6"/>
  <c r="R144" i="6"/>
  <c r="M144" i="6"/>
  <c r="BL143" i="6"/>
  <c r="BO143" i="6" s="1"/>
  <c r="BS143" i="6" s="1"/>
  <c r="S143" i="6"/>
  <c r="R143" i="6"/>
  <c r="M143" i="6"/>
  <c r="BL142" i="6"/>
  <c r="BO142" i="6" s="1"/>
  <c r="S142" i="6"/>
  <c r="R142" i="6"/>
  <c r="M142" i="6"/>
  <c r="BL141" i="6"/>
  <c r="BO141" i="6" s="1"/>
  <c r="S141" i="6"/>
  <c r="R141" i="6"/>
  <c r="M141" i="6"/>
  <c r="BL140" i="6"/>
  <c r="BO140" i="6" s="1"/>
  <c r="BQ140" i="6" s="1"/>
  <c r="BS140" i="6" s="1"/>
  <c r="S140" i="6"/>
  <c r="R140" i="6"/>
  <c r="M140" i="6"/>
  <c r="BL139" i="6"/>
  <c r="BO139" i="6" s="1"/>
  <c r="BQ139" i="6" s="1"/>
  <c r="BS139" i="6" s="1"/>
  <c r="S139" i="6"/>
  <c r="R139" i="6"/>
  <c r="M139" i="6"/>
  <c r="BL138" i="6"/>
  <c r="BO138" i="6" s="1"/>
  <c r="S138" i="6"/>
  <c r="R138" i="6"/>
  <c r="M138" i="6"/>
  <c r="BL137" i="6"/>
  <c r="BO137" i="6" s="1"/>
  <c r="S137" i="6"/>
  <c r="R137" i="6"/>
  <c r="M137" i="6"/>
  <c r="BL136" i="6"/>
  <c r="BO136" i="6" s="1"/>
  <c r="S136" i="6"/>
  <c r="R136" i="6"/>
  <c r="M136" i="6"/>
  <c r="BL135" i="6"/>
  <c r="BO135" i="6" s="1"/>
  <c r="BQ135" i="6" s="1"/>
  <c r="BS135" i="6" s="1"/>
  <c r="S135" i="6"/>
  <c r="R135" i="6"/>
  <c r="M135" i="6"/>
  <c r="BL134" i="6"/>
  <c r="BO134" i="6" s="1"/>
  <c r="BQ134" i="6" s="1"/>
  <c r="BS134" i="6" s="1"/>
  <c r="S134" i="6"/>
  <c r="R134" i="6"/>
  <c r="M134" i="6"/>
  <c r="BL133" i="6"/>
  <c r="BO133" i="6" s="1"/>
  <c r="BQ133" i="6" s="1"/>
  <c r="BS133" i="6" s="1"/>
  <c r="S133" i="6"/>
  <c r="R133" i="6"/>
  <c r="M133" i="6"/>
  <c r="BL132" i="6"/>
  <c r="BO132" i="6" s="1"/>
  <c r="BQ132" i="6" s="1"/>
  <c r="BS132" i="6" s="1"/>
  <c r="S132" i="6"/>
  <c r="R132" i="6"/>
  <c r="M132" i="6"/>
  <c r="BL131" i="6"/>
  <c r="BO131" i="6" s="1"/>
  <c r="BQ131" i="6" s="1"/>
  <c r="BS131" i="6" s="1"/>
  <c r="S131" i="6"/>
  <c r="R131" i="6"/>
  <c r="M131" i="6"/>
  <c r="BL130" i="6"/>
  <c r="BO130" i="6" s="1"/>
  <c r="BQ130" i="6" s="1"/>
  <c r="BS130" i="6" s="1"/>
  <c r="S130" i="6"/>
  <c r="R130" i="6"/>
  <c r="M130" i="6"/>
  <c r="BL129" i="6"/>
  <c r="BO129" i="6" s="1"/>
  <c r="BQ129" i="6" s="1"/>
  <c r="BS129" i="6" s="1"/>
  <c r="S129" i="6"/>
  <c r="R129" i="6"/>
  <c r="M129" i="6"/>
  <c r="BL128" i="6"/>
  <c r="BO128" i="6" s="1"/>
  <c r="BQ128" i="6" s="1"/>
  <c r="BS128" i="6" s="1"/>
  <c r="S128" i="6"/>
  <c r="R128" i="6"/>
  <c r="M128" i="6"/>
  <c r="BL127" i="6"/>
  <c r="BO127" i="6" s="1"/>
  <c r="BQ127" i="6" s="1"/>
  <c r="BS127" i="6" s="1"/>
  <c r="S127" i="6"/>
  <c r="R127" i="6"/>
  <c r="M127" i="6"/>
  <c r="BL126" i="6"/>
  <c r="BO126" i="6" s="1"/>
  <c r="BQ126" i="6" s="1"/>
  <c r="BS126" i="6" s="1"/>
  <c r="S126" i="6"/>
  <c r="R126" i="6"/>
  <c r="M126" i="6"/>
  <c r="BL125" i="6"/>
  <c r="BO125" i="6" s="1"/>
  <c r="BQ125" i="6" s="1"/>
  <c r="BS125" i="6" s="1"/>
  <c r="S125" i="6"/>
  <c r="R125" i="6"/>
  <c r="M125" i="6"/>
  <c r="BL124" i="6"/>
  <c r="BO124" i="6" s="1"/>
  <c r="S124" i="6"/>
  <c r="R124" i="6"/>
  <c r="M124" i="6"/>
  <c r="BL123" i="6"/>
  <c r="BO123" i="6" s="1"/>
  <c r="S123" i="6"/>
  <c r="R123" i="6"/>
  <c r="M123" i="6"/>
  <c r="BL122" i="6"/>
  <c r="BO122" i="6" s="1"/>
  <c r="S122" i="6"/>
  <c r="R122" i="6"/>
  <c r="M122" i="6"/>
  <c r="BL121" i="6"/>
  <c r="BO121" i="6" s="1"/>
  <c r="BS121" i="6" s="1"/>
  <c r="S121" i="6"/>
  <c r="R121" i="6"/>
  <c r="M121" i="6"/>
  <c r="BL120" i="6"/>
  <c r="BO120" i="6" s="1"/>
  <c r="BS120" i="6" s="1"/>
  <c r="S120" i="6"/>
  <c r="R120" i="6"/>
  <c r="M120" i="6"/>
  <c r="BL119" i="6"/>
  <c r="BO119" i="6" s="1"/>
  <c r="BS119" i="6" s="1"/>
  <c r="S119" i="6"/>
  <c r="R119" i="6"/>
  <c r="M119" i="6"/>
  <c r="BL118" i="6"/>
  <c r="BO118" i="6" s="1"/>
  <c r="BS118" i="6" s="1"/>
  <c r="S118" i="6"/>
  <c r="R118" i="6"/>
  <c r="M118" i="6"/>
  <c r="BL117" i="6"/>
  <c r="BO117" i="6" s="1"/>
  <c r="S117" i="6"/>
  <c r="R117" i="6"/>
  <c r="M117" i="6"/>
  <c r="BL116" i="6"/>
  <c r="BO116" i="6" s="1"/>
  <c r="BS116" i="6" s="1"/>
  <c r="S116" i="6"/>
  <c r="R116" i="6"/>
  <c r="M116" i="6"/>
  <c r="BL115" i="6"/>
  <c r="BO115" i="6" s="1"/>
  <c r="BQ115" i="6" s="1"/>
  <c r="BS115" i="6" s="1"/>
  <c r="S115" i="6"/>
  <c r="R115" i="6"/>
  <c r="M115" i="6"/>
  <c r="BL114" i="6"/>
  <c r="BO114" i="6" s="1"/>
  <c r="S114" i="6"/>
  <c r="R114" i="6"/>
  <c r="M114" i="6"/>
  <c r="BL113" i="6"/>
  <c r="BO113" i="6" s="1"/>
  <c r="S113" i="6"/>
  <c r="R113" i="6"/>
  <c r="M113" i="6"/>
  <c r="BL112" i="6"/>
  <c r="BO112" i="6" s="1"/>
  <c r="BQ112" i="6" s="1"/>
  <c r="BS112" i="6" s="1"/>
  <c r="S112" i="6"/>
  <c r="R112" i="6"/>
  <c r="M112" i="6"/>
  <c r="BL111" i="6"/>
  <c r="BO111" i="6" s="1"/>
  <c r="BQ111" i="6" s="1"/>
  <c r="BS111" i="6" s="1"/>
  <c r="S111" i="6"/>
  <c r="R111" i="6"/>
  <c r="M111" i="6"/>
  <c r="BL110" i="6"/>
  <c r="BO110" i="6" s="1"/>
  <c r="BQ110" i="6" s="1"/>
  <c r="BS110" i="6" s="1"/>
  <c r="S110" i="6"/>
  <c r="R110" i="6"/>
  <c r="M110" i="6"/>
  <c r="BL109" i="6"/>
  <c r="BO109" i="6" s="1"/>
  <c r="BQ109" i="6" s="1"/>
  <c r="BS109" i="6" s="1"/>
  <c r="S109" i="6"/>
  <c r="R109" i="6"/>
  <c r="M109" i="6"/>
  <c r="BL108" i="6"/>
  <c r="BO108" i="6" s="1"/>
  <c r="BQ108" i="6" s="1"/>
  <c r="BS108" i="6" s="1"/>
  <c r="S108" i="6"/>
  <c r="R108" i="6"/>
  <c r="M108" i="6"/>
  <c r="BL107" i="6"/>
  <c r="BO107" i="6" s="1"/>
  <c r="BQ107" i="6" s="1"/>
  <c r="BS107" i="6" s="1"/>
  <c r="S107" i="6"/>
  <c r="R107" i="6"/>
  <c r="M107" i="6"/>
  <c r="BL106" i="6"/>
  <c r="BO106" i="6" s="1"/>
  <c r="BQ106" i="6" s="1"/>
  <c r="BS106" i="6" s="1"/>
  <c r="S106" i="6"/>
  <c r="R106" i="6"/>
  <c r="M106" i="6"/>
  <c r="BL105" i="6"/>
  <c r="BO105" i="6" s="1"/>
  <c r="BQ105" i="6" s="1"/>
  <c r="BS105" i="6" s="1"/>
  <c r="S105" i="6"/>
  <c r="R105" i="6"/>
  <c r="M105" i="6"/>
  <c r="BL104" i="6"/>
  <c r="BO104" i="6" s="1"/>
  <c r="BQ104" i="6" s="1"/>
  <c r="BS104" i="6" s="1"/>
  <c r="S104" i="6"/>
  <c r="R104" i="6"/>
  <c r="M104" i="6"/>
  <c r="BL103" i="6"/>
  <c r="BO103" i="6" s="1"/>
  <c r="BQ103" i="6" s="1"/>
  <c r="BS103" i="6" s="1"/>
  <c r="S103" i="6"/>
  <c r="R103" i="6"/>
  <c r="M103" i="6"/>
  <c r="BL102" i="6"/>
  <c r="BO102" i="6" s="1"/>
  <c r="S102" i="6"/>
  <c r="R102" i="6"/>
  <c r="M102" i="6"/>
  <c r="BL101" i="6"/>
  <c r="BO101" i="6" s="1"/>
  <c r="BQ101" i="6" s="1"/>
  <c r="BS101" i="6" s="1"/>
  <c r="S101" i="6"/>
  <c r="R101" i="6"/>
  <c r="M101" i="6"/>
  <c r="BL100" i="6"/>
  <c r="BO100" i="6" s="1"/>
  <c r="S100" i="6"/>
  <c r="R100" i="6"/>
  <c r="M100" i="6"/>
  <c r="BL99" i="6"/>
  <c r="BO99" i="6" s="1"/>
  <c r="S99" i="6"/>
  <c r="R99" i="6"/>
  <c r="M99" i="6"/>
  <c r="BL98" i="6"/>
  <c r="BO98" i="6" s="1"/>
  <c r="S98" i="6"/>
  <c r="R98" i="6"/>
  <c r="M98" i="6"/>
  <c r="BL97" i="6"/>
  <c r="BO97" i="6" s="1"/>
  <c r="BS97" i="6" s="1"/>
  <c r="S97" i="6"/>
  <c r="R97" i="6"/>
  <c r="M97" i="6"/>
  <c r="BL96" i="6"/>
  <c r="BO96" i="6" s="1"/>
  <c r="BS96" i="6" s="1"/>
  <c r="S96" i="6"/>
  <c r="R96" i="6"/>
  <c r="M96" i="6"/>
  <c r="BL95" i="6"/>
  <c r="BO95" i="6" s="1"/>
  <c r="BS95" i="6" s="1"/>
  <c r="S95" i="6"/>
  <c r="R95" i="6"/>
  <c r="M95" i="6"/>
  <c r="BL94" i="6"/>
  <c r="BO94" i="6" s="1"/>
  <c r="BS94" i="6" s="1"/>
  <c r="S94" i="6"/>
  <c r="R94" i="6"/>
  <c r="M94" i="6"/>
  <c r="BL93" i="6"/>
  <c r="BO93" i="6" s="1"/>
  <c r="S93" i="6"/>
  <c r="R93" i="6"/>
  <c r="M93" i="6"/>
  <c r="BL92" i="6"/>
  <c r="BO92" i="6" s="1"/>
  <c r="BQ92" i="6" s="1"/>
  <c r="BS92" i="6" s="1"/>
  <c r="S92" i="6"/>
  <c r="R92" i="6"/>
  <c r="M92" i="6"/>
  <c r="BL91" i="6"/>
  <c r="BO91" i="6" s="1"/>
  <c r="BQ91" i="6" s="1"/>
  <c r="BS91" i="6" s="1"/>
  <c r="S91" i="6"/>
  <c r="R91" i="6"/>
  <c r="M91" i="6"/>
  <c r="BL90" i="6"/>
  <c r="BO90" i="6" s="1"/>
  <c r="S90" i="6"/>
  <c r="R90" i="6"/>
  <c r="M90" i="6"/>
  <c r="BL89" i="6"/>
  <c r="BO89" i="6" s="1"/>
  <c r="S89" i="6"/>
  <c r="R89" i="6"/>
  <c r="M89" i="6"/>
  <c r="BL88" i="6"/>
  <c r="BO88" i="6" s="1"/>
  <c r="S88" i="6"/>
  <c r="R88" i="6"/>
  <c r="M88" i="6"/>
  <c r="BL87" i="6"/>
  <c r="BO87" i="6" s="1"/>
  <c r="BQ87" i="6" s="1"/>
  <c r="BS87" i="6" s="1"/>
  <c r="S87" i="6"/>
  <c r="R87" i="6"/>
  <c r="M87" i="6"/>
  <c r="BL86" i="6"/>
  <c r="BO86" i="6" s="1"/>
  <c r="BQ86" i="6" s="1"/>
  <c r="BS86" i="6" s="1"/>
  <c r="S86" i="6"/>
  <c r="R86" i="6"/>
  <c r="M86" i="6"/>
  <c r="BL85" i="6"/>
  <c r="BO85" i="6" s="1"/>
  <c r="BQ85" i="6" s="1"/>
  <c r="BS85" i="6" s="1"/>
  <c r="S85" i="6"/>
  <c r="R85" i="6"/>
  <c r="M85" i="6"/>
  <c r="BL84" i="6"/>
  <c r="BO84" i="6" s="1"/>
  <c r="BQ84" i="6" s="1"/>
  <c r="BS84" i="6" s="1"/>
  <c r="S84" i="6"/>
  <c r="R84" i="6"/>
  <c r="M84" i="6"/>
  <c r="BL83" i="6"/>
  <c r="BO83" i="6" s="1"/>
  <c r="BQ83" i="6" s="1"/>
  <c r="BS83" i="6" s="1"/>
  <c r="S83" i="6"/>
  <c r="R83" i="6"/>
  <c r="M83" i="6"/>
  <c r="BL82" i="6"/>
  <c r="BO82" i="6" s="1"/>
  <c r="BQ82" i="6" s="1"/>
  <c r="BS82" i="6" s="1"/>
  <c r="S82" i="6"/>
  <c r="R82" i="6"/>
  <c r="M82" i="6"/>
  <c r="BL81" i="6"/>
  <c r="BO81" i="6" s="1"/>
  <c r="BQ81" i="6" s="1"/>
  <c r="BS81" i="6" s="1"/>
  <c r="S81" i="6"/>
  <c r="R81" i="6"/>
  <c r="M81" i="6"/>
  <c r="BL80" i="6"/>
  <c r="BO80" i="6" s="1"/>
  <c r="BQ80" i="6" s="1"/>
  <c r="BS80" i="6" s="1"/>
  <c r="S80" i="6"/>
  <c r="R80" i="6"/>
  <c r="M80" i="6"/>
  <c r="BL79" i="6"/>
  <c r="BO79" i="6" s="1"/>
  <c r="BQ79" i="6" s="1"/>
  <c r="BS79" i="6" s="1"/>
  <c r="S79" i="6"/>
  <c r="R79" i="6"/>
  <c r="M79" i="6"/>
  <c r="BL78" i="6"/>
  <c r="BO78" i="6" s="1"/>
  <c r="BQ78" i="6" s="1"/>
  <c r="BS78" i="6" s="1"/>
  <c r="S78" i="6"/>
  <c r="R78" i="6"/>
  <c r="M78" i="6"/>
  <c r="BL77" i="6"/>
  <c r="BO77" i="6" s="1"/>
  <c r="BQ77" i="6" s="1"/>
  <c r="BS77" i="6" s="1"/>
  <c r="S77" i="6"/>
  <c r="R77" i="6"/>
  <c r="M77" i="6"/>
  <c r="BL76" i="6"/>
  <c r="BO76" i="6" s="1"/>
  <c r="BQ76" i="6" s="1"/>
  <c r="BS76" i="6" s="1"/>
  <c r="S76" i="6"/>
  <c r="R76" i="6"/>
  <c r="M76" i="6"/>
  <c r="BL75" i="6"/>
  <c r="BO75" i="6" s="1"/>
  <c r="S75" i="6"/>
  <c r="R75" i="6"/>
  <c r="M75" i="6"/>
  <c r="BL74" i="6"/>
  <c r="BO74" i="6" s="1"/>
  <c r="S74" i="6"/>
  <c r="R74" i="6"/>
  <c r="M74" i="6"/>
  <c r="BL73" i="6"/>
  <c r="BO73" i="6" s="1"/>
  <c r="S73" i="6"/>
  <c r="R73" i="6"/>
  <c r="M73" i="6"/>
  <c r="BL72" i="6"/>
  <c r="BO72" i="6" s="1"/>
  <c r="BS72" i="6" s="1"/>
  <c r="S72" i="6"/>
  <c r="R72" i="6"/>
  <c r="M72" i="6"/>
  <c r="BL71" i="6"/>
  <c r="BO71" i="6" s="1"/>
  <c r="BS71" i="6" s="1"/>
  <c r="S71" i="6"/>
  <c r="R71" i="6"/>
  <c r="M71" i="6"/>
  <c r="BL70" i="6"/>
  <c r="BO70" i="6" s="1"/>
  <c r="BS70" i="6" s="1"/>
  <c r="S70" i="6"/>
  <c r="R70" i="6"/>
  <c r="M70" i="6"/>
  <c r="BL69" i="6"/>
  <c r="BO69" i="6" s="1"/>
  <c r="BQ69" i="6" s="1"/>
  <c r="BS69" i="6" s="1"/>
  <c r="S69" i="6"/>
  <c r="R69" i="6"/>
  <c r="M69" i="6"/>
  <c r="BL68" i="6"/>
  <c r="BO68" i="6" s="1"/>
  <c r="S68" i="6"/>
  <c r="R68" i="6"/>
  <c r="M68" i="6"/>
  <c r="BL67" i="6"/>
  <c r="BO67" i="6" s="1"/>
  <c r="S67" i="6"/>
  <c r="R67" i="6"/>
  <c r="M67" i="6"/>
  <c r="BL66" i="6"/>
  <c r="BO66" i="6" s="1"/>
  <c r="BQ66" i="6" s="1"/>
  <c r="BS66" i="6" s="1"/>
  <c r="S66" i="6"/>
  <c r="R66" i="6"/>
  <c r="M66" i="6"/>
  <c r="BL65" i="6"/>
  <c r="BO65" i="6" s="1"/>
  <c r="S65" i="6"/>
  <c r="R65" i="6"/>
  <c r="M65" i="6"/>
  <c r="BL64" i="6"/>
  <c r="BO64" i="6" s="1"/>
  <c r="S64" i="6"/>
  <c r="R64" i="6"/>
  <c r="M64" i="6"/>
  <c r="BL63" i="6"/>
  <c r="BO63" i="6" s="1"/>
  <c r="BQ63" i="6" s="1"/>
  <c r="BS63" i="6" s="1"/>
  <c r="S63" i="6"/>
  <c r="R63" i="6"/>
  <c r="M63" i="6"/>
  <c r="BL62" i="6"/>
  <c r="BO62" i="6" s="1"/>
  <c r="BQ62" i="6" s="1"/>
  <c r="BS62" i="6" s="1"/>
  <c r="S62" i="6"/>
  <c r="R62" i="6"/>
  <c r="M62" i="6"/>
  <c r="BL61" i="6"/>
  <c r="BO61" i="6" s="1"/>
  <c r="BQ61" i="6" s="1"/>
  <c r="BS61" i="6" s="1"/>
  <c r="S61" i="6"/>
  <c r="R61" i="6"/>
  <c r="M61" i="6"/>
  <c r="BL60" i="6"/>
  <c r="BO60" i="6" s="1"/>
  <c r="BQ60" i="6" s="1"/>
  <c r="BS60" i="6" s="1"/>
  <c r="S60" i="6"/>
  <c r="R60" i="6"/>
  <c r="M60" i="6"/>
  <c r="BL59" i="6"/>
  <c r="BO59" i="6" s="1"/>
  <c r="BQ59" i="6" s="1"/>
  <c r="BS59" i="6" s="1"/>
  <c r="S59" i="6"/>
  <c r="R59" i="6"/>
  <c r="M59" i="6"/>
  <c r="BL58" i="6"/>
  <c r="BO58" i="6" s="1"/>
  <c r="BQ58" i="6" s="1"/>
  <c r="BS58" i="6" s="1"/>
  <c r="S58" i="6"/>
  <c r="R58" i="6"/>
  <c r="M58" i="6"/>
  <c r="BL57" i="6"/>
  <c r="BO57" i="6" s="1"/>
  <c r="BQ57" i="6" s="1"/>
  <c r="BS57" i="6" s="1"/>
  <c r="S57" i="6"/>
  <c r="R57" i="6"/>
  <c r="M57" i="6"/>
  <c r="BL56" i="6"/>
  <c r="BO56" i="6" s="1"/>
  <c r="BQ56" i="6" s="1"/>
  <c r="BS56" i="6" s="1"/>
  <c r="S56" i="6"/>
  <c r="R56" i="6"/>
  <c r="M56" i="6"/>
  <c r="BL55" i="6"/>
  <c r="BO55" i="6" s="1"/>
  <c r="BQ55" i="6" s="1"/>
  <c r="BS55" i="6" s="1"/>
  <c r="S55" i="6"/>
  <c r="R55" i="6"/>
  <c r="M55" i="6"/>
  <c r="BL54" i="6"/>
  <c r="BO54" i="6" s="1"/>
  <c r="S54" i="6"/>
  <c r="R54" i="6"/>
  <c r="M54" i="6"/>
  <c r="BL53" i="6"/>
  <c r="BO53" i="6" s="1"/>
  <c r="BQ53" i="6" s="1"/>
  <c r="BS53" i="6" s="1"/>
  <c r="S53" i="6"/>
  <c r="R53" i="6"/>
  <c r="M53" i="6"/>
  <c r="BL52" i="6"/>
  <c r="BO52" i="6" s="1"/>
  <c r="BQ52" i="6" s="1"/>
  <c r="BS52" i="6" s="1"/>
  <c r="S52" i="6"/>
  <c r="R52" i="6"/>
  <c r="M52" i="6"/>
  <c r="BL51" i="6"/>
  <c r="BO51" i="6" s="1"/>
  <c r="S51" i="6"/>
  <c r="R51" i="6"/>
  <c r="M51" i="6"/>
  <c r="BL50" i="6"/>
  <c r="BO50" i="6" s="1"/>
  <c r="S50" i="6"/>
  <c r="R50" i="6"/>
  <c r="M50" i="6"/>
  <c r="BL49" i="6"/>
  <c r="BO49" i="6" s="1"/>
  <c r="BQ49" i="6" s="1"/>
  <c r="BS49" i="6" s="1"/>
  <c r="S49" i="6"/>
  <c r="R49" i="6"/>
  <c r="M49" i="6"/>
  <c r="BL48" i="6"/>
  <c r="BO48" i="6" s="1"/>
  <c r="BS48" i="6" s="1"/>
  <c r="S48" i="6"/>
  <c r="R48" i="6"/>
  <c r="M48" i="6"/>
  <c r="BL47" i="6"/>
  <c r="BO47" i="6" s="1"/>
  <c r="BS47" i="6" s="1"/>
  <c r="S47" i="6"/>
  <c r="R47" i="6"/>
  <c r="M47" i="6"/>
  <c r="BL46" i="6"/>
  <c r="BO46" i="6" s="1"/>
  <c r="BQ46" i="6" s="1"/>
  <c r="BS46" i="6" s="1"/>
  <c r="S46" i="6"/>
  <c r="R46" i="6"/>
  <c r="M46" i="6"/>
  <c r="BL45" i="6"/>
  <c r="BO45" i="6" s="1"/>
  <c r="S45" i="6"/>
  <c r="R45" i="6"/>
  <c r="M45" i="6"/>
  <c r="BL44" i="6"/>
  <c r="BO44" i="6" s="1"/>
  <c r="S44" i="6"/>
  <c r="R44" i="6"/>
  <c r="M44" i="6"/>
  <c r="BL43" i="6"/>
  <c r="BO43" i="6" s="1"/>
  <c r="BQ43" i="6" s="1"/>
  <c r="BS43" i="6" s="1"/>
  <c r="S43" i="6"/>
  <c r="R43" i="6"/>
  <c r="M43" i="6"/>
  <c r="BL42" i="6"/>
  <c r="BO42" i="6" s="1"/>
  <c r="BS42" i="6" s="1"/>
  <c r="S42" i="6"/>
  <c r="R42" i="6"/>
  <c r="M42" i="6"/>
  <c r="BL41" i="6"/>
  <c r="BO41" i="6" s="1"/>
  <c r="S41" i="6"/>
  <c r="R41" i="6"/>
  <c r="M41" i="6"/>
  <c r="BL40" i="6"/>
  <c r="BO40" i="6" s="1"/>
  <c r="S40" i="6"/>
  <c r="R40" i="6"/>
  <c r="M40" i="6"/>
  <c r="BL39" i="6"/>
  <c r="BO39" i="6" s="1"/>
  <c r="S39" i="6"/>
  <c r="R39" i="6"/>
  <c r="M39" i="6"/>
  <c r="BL38" i="6"/>
  <c r="BO38" i="6" s="1"/>
  <c r="BQ38" i="6" s="1"/>
  <c r="BS38" i="6" s="1"/>
  <c r="S38" i="6"/>
  <c r="R38" i="6"/>
  <c r="M38" i="6"/>
  <c r="BL37" i="6"/>
  <c r="BO37" i="6" s="1"/>
  <c r="BQ37" i="6" s="1"/>
  <c r="BS37" i="6" s="1"/>
  <c r="S37" i="6"/>
  <c r="R37" i="6"/>
  <c r="M37" i="6"/>
  <c r="BL36" i="6"/>
  <c r="BO36" i="6" s="1"/>
  <c r="BQ36" i="6" s="1"/>
  <c r="BS36" i="6" s="1"/>
  <c r="S36" i="6"/>
  <c r="R36" i="6"/>
  <c r="M36" i="6"/>
  <c r="BL35" i="6"/>
  <c r="BO35" i="6" s="1"/>
  <c r="BQ35" i="6" s="1"/>
  <c r="BS35" i="6" s="1"/>
  <c r="S35" i="6"/>
  <c r="R35" i="6"/>
  <c r="M35" i="6"/>
  <c r="BL34" i="6"/>
  <c r="BO34" i="6" s="1"/>
  <c r="BQ34" i="6" s="1"/>
  <c r="BS34" i="6" s="1"/>
  <c r="S34" i="6"/>
  <c r="R34" i="6"/>
  <c r="M34" i="6"/>
  <c r="BL33" i="6"/>
  <c r="BO33" i="6" s="1"/>
  <c r="BQ33" i="6" s="1"/>
  <c r="BS33" i="6" s="1"/>
  <c r="S33" i="6"/>
  <c r="R33" i="6"/>
  <c r="M33" i="6"/>
  <c r="BL32" i="6"/>
  <c r="BO32" i="6" s="1"/>
  <c r="BQ32" i="6" s="1"/>
  <c r="BS32" i="6" s="1"/>
  <c r="S32" i="6"/>
  <c r="R32" i="6"/>
  <c r="M32" i="6"/>
  <c r="BL31" i="6"/>
  <c r="BO31" i="6" s="1"/>
  <c r="BQ31" i="6" s="1"/>
  <c r="BS31" i="6" s="1"/>
  <c r="S31" i="6"/>
  <c r="R31" i="6"/>
  <c r="M31" i="6"/>
  <c r="BL30" i="6"/>
  <c r="BO30" i="6" s="1"/>
  <c r="S30" i="6"/>
  <c r="R30" i="6"/>
  <c r="M30" i="6"/>
  <c r="BL29" i="6"/>
  <c r="BO29" i="6" s="1"/>
  <c r="S29" i="6"/>
  <c r="R29" i="6"/>
  <c r="M29" i="6"/>
  <c r="BL28" i="6"/>
  <c r="BO28" i="6" s="1"/>
  <c r="BQ28" i="6" s="1"/>
  <c r="BS28" i="6" s="1"/>
  <c r="S28" i="6"/>
  <c r="R28" i="6"/>
  <c r="M28" i="6"/>
  <c r="BL27" i="6"/>
  <c r="BO27" i="6" s="1"/>
  <c r="BS27" i="6" s="1"/>
  <c r="S27" i="6"/>
  <c r="R27" i="6"/>
  <c r="M27" i="6"/>
  <c r="BL26" i="6"/>
  <c r="BO26" i="6" s="1"/>
  <c r="BS26" i="6" s="1"/>
  <c r="S26" i="6"/>
  <c r="R26" i="6"/>
  <c r="M26" i="6"/>
  <c r="BL25" i="6"/>
  <c r="BO25" i="6" s="1"/>
  <c r="BS25" i="6" s="1"/>
  <c r="S25" i="6"/>
  <c r="R25" i="6"/>
  <c r="M25" i="6"/>
  <c r="BL24" i="6"/>
  <c r="BO24" i="6" s="1"/>
  <c r="S24" i="6"/>
  <c r="R24" i="6"/>
  <c r="M24" i="6"/>
  <c r="BL23" i="6"/>
  <c r="BO23" i="6" s="1"/>
  <c r="BQ23" i="6" s="1"/>
  <c r="BS23" i="6" s="1"/>
  <c r="S23" i="6"/>
  <c r="R23" i="6"/>
  <c r="M23" i="6"/>
  <c r="BL22" i="6"/>
  <c r="BO22" i="6" s="1"/>
  <c r="BQ22" i="6" s="1"/>
  <c r="BS22" i="6" s="1"/>
  <c r="S22" i="6"/>
  <c r="R22" i="6"/>
  <c r="M22" i="6"/>
  <c r="BL21" i="6"/>
  <c r="BO21" i="6" s="1"/>
  <c r="BS21" i="6" s="1"/>
  <c r="S21" i="6"/>
  <c r="R21" i="6"/>
  <c r="M21" i="6"/>
  <c r="BL20" i="6"/>
  <c r="BO20" i="6" s="1"/>
  <c r="BQ20" i="6" s="1"/>
  <c r="BS20" i="6" s="1"/>
  <c r="S20" i="6"/>
  <c r="R20" i="6"/>
  <c r="M20" i="6"/>
  <c r="BL19" i="6"/>
  <c r="BO19" i="6" s="1"/>
  <c r="S19" i="6"/>
  <c r="R19" i="6"/>
  <c r="M19" i="6"/>
  <c r="BL18" i="6"/>
  <c r="BO18" i="6" s="1"/>
  <c r="S18" i="6"/>
  <c r="R18" i="6"/>
  <c r="M18" i="6"/>
  <c r="BL17" i="6"/>
  <c r="BO17" i="6" s="1"/>
  <c r="S17" i="6"/>
  <c r="R17" i="6"/>
  <c r="M17" i="6"/>
  <c r="BL16" i="6"/>
  <c r="BO16" i="6" s="1"/>
  <c r="BQ16" i="6" s="1"/>
  <c r="BS16" i="6" s="1"/>
  <c r="S16" i="6"/>
  <c r="R16" i="6"/>
  <c r="M16" i="6"/>
  <c r="BL15" i="6"/>
  <c r="BO15" i="6" s="1"/>
  <c r="BQ15" i="6" s="1"/>
  <c r="BS15" i="6" s="1"/>
  <c r="S15" i="6"/>
  <c r="R15" i="6"/>
  <c r="M15" i="6"/>
  <c r="BL14" i="6"/>
  <c r="BO14" i="6" s="1"/>
  <c r="BQ14" i="6" s="1"/>
  <c r="BS14" i="6" s="1"/>
  <c r="S14" i="6"/>
  <c r="R14" i="6"/>
  <c r="M14" i="6"/>
  <c r="BL13" i="6"/>
  <c r="BO13" i="6" s="1"/>
  <c r="BQ13" i="6" s="1"/>
  <c r="BS13" i="6" s="1"/>
  <c r="S13" i="6"/>
  <c r="R13" i="6"/>
  <c r="M13" i="6"/>
  <c r="BL12" i="6"/>
  <c r="BO12" i="6" s="1"/>
  <c r="BQ12" i="6" s="1"/>
  <c r="BS12" i="6" s="1"/>
  <c r="S12" i="6"/>
  <c r="R12" i="6"/>
  <c r="M12" i="6"/>
  <c r="BL11" i="6"/>
  <c r="BO11" i="6" s="1"/>
  <c r="BQ11" i="6" s="1"/>
  <c r="BS11" i="6" s="1"/>
  <c r="S11" i="6"/>
  <c r="R11" i="6"/>
  <c r="M11" i="6"/>
  <c r="CB165" i="6"/>
  <c r="BW165" i="6"/>
  <c r="BS165" i="6"/>
  <c r="BB165" i="6"/>
  <c r="AV165" i="6"/>
  <c r="AQ165" i="6"/>
  <c r="AJ165" i="6"/>
  <c r="AE165" i="6"/>
  <c r="AA165" i="6"/>
  <c r="CB164" i="6"/>
  <c r="BW164" i="6"/>
  <c r="BS164" i="6"/>
  <c r="BB164" i="6"/>
  <c r="AV164" i="6"/>
  <c r="AQ164" i="6"/>
  <c r="AJ164" i="6"/>
  <c r="AE164" i="6"/>
  <c r="AA164" i="6"/>
  <c r="CB163" i="6"/>
  <c r="BW163" i="6"/>
  <c r="BS163" i="6"/>
  <c r="BB163" i="6"/>
  <c r="AV163" i="6"/>
  <c r="AQ163" i="6"/>
  <c r="AJ163" i="6"/>
  <c r="AE163" i="6"/>
  <c r="AA163" i="6"/>
  <c r="CB162" i="6"/>
  <c r="BW162" i="6"/>
  <c r="BS162" i="6"/>
  <c r="BB162" i="6"/>
  <c r="AV162" i="6"/>
  <c r="AQ162" i="6"/>
  <c r="AJ162" i="6"/>
  <c r="AE162" i="6"/>
  <c r="AA162" i="6"/>
  <c r="CB161" i="6"/>
  <c r="BW161" i="6"/>
  <c r="BS161" i="6"/>
  <c r="BB161" i="6"/>
  <c r="AV161" i="6"/>
  <c r="AQ161" i="6"/>
  <c r="AJ161" i="6"/>
  <c r="AE161" i="6"/>
  <c r="AA161" i="6"/>
  <c r="CB160" i="6"/>
  <c r="BW160" i="6"/>
  <c r="BS160" i="6"/>
  <c r="BB160" i="6"/>
  <c r="AV160" i="6"/>
  <c r="AQ160" i="6"/>
  <c r="AJ160" i="6"/>
  <c r="AE160" i="6"/>
  <c r="AA160" i="6"/>
  <c r="CB159" i="6"/>
  <c r="BW159" i="6"/>
  <c r="BS159" i="6"/>
  <c r="BB159" i="6"/>
  <c r="AV159" i="6"/>
  <c r="AQ159" i="6"/>
  <c r="AJ159" i="6"/>
  <c r="AE159" i="6"/>
  <c r="AA159" i="6"/>
  <c r="CB158" i="6"/>
  <c r="BW158" i="6"/>
  <c r="BS158" i="6"/>
  <c r="BB158" i="6"/>
  <c r="AV158" i="6"/>
  <c r="AQ158" i="6"/>
  <c r="AJ158" i="6"/>
  <c r="AE158" i="6"/>
  <c r="AA158" i="6"/>
  <c r="CB157" i="6"/>
  <c r="BW157" i="6"/>
  <c r="BB157" i="6"/>
  <c r="AV157" i="6"/>
  <c r="AQ157" i="6"/>
  <c r="AJ157" i="6"/>
  <c r="AE157" i="6"/>
  <c r="AA157" i="6"/>
  <c r="CB156" i="6"/>
  <c r="BW156" i="6"/>
  <c r="BB156" i="6"/>
  <c r="AV156" i="6"/>
  <c r="AQ156" i="6"/>
  <c r="AJ156" i="6"/>
  <c r="AE156" i="6"/>
  <c r="AA156" i="6"/>
  <c r="CB155" i="6"/>
  <c r="BW155" i="6"/>
  <c r="BB155" i="6"/>
  <c r="AV155" i="6"/>
  <c r="AQ155" i="6"/>
  <c r="AJ155" i="6"/>
  <c r="AE155" i="6"/>
  <c r="AA155" i="6"/>
  <c r="CB154" i="6"/>
  <c r="BW154" i="6"/>
  <c r="BS154" i="6"/>
  <c r="BB154" i="6"/>
  <c r="AV154" i="6"/>
  <c r="AQ154" i="6"/>
  <c r="AJ154" i="6"/>
  <c r="AE154" i="6"/>
  <c r="AA154" i="6"/>
  <c r="CB153" i="6"/>
  <c r="BW153" i="6"/>
  <c r="BS153" i="6"/>
  <c r="BB153" i="6"/>
  <c r="AV153" i="6"/>
  <c r="AQ153" i="6"/>
  <c r="AJ153" i="6"/>
  <c r="AE153" i="6"/>
  <c r="AA153" i="6"/>
  <c r="CB152" i="6"/>
  <c r="BW152" i="6"/>
  <c r="BS152" i="6"/>
  <c r="BB152" i="6"/>
  <c r="AV152" i="6"/>
  <c r="AQ152" i="6"/>
  <c r="AJ152" i="6"/>
  <c r="AE152" i="6"/>
  <c r="AA152" i="6"/>
  <c r="CB151" i="6"/>
  <c r="BW151" i="6"/>
  <c r="BB151" i="6"/>
  <c r="AV151" i="6"/>
  <c r="AQ151" i="6"/>
  <c r="AJ151" i="6"/>
  <c r="AE151" i="6"/>
  <c r="AA151" i="6"/>
  <c r="CB150" i="6"/>
  <c r="BW150" i="6"/>
  <c r="BS150" i="6"/>
  <c r="BB150" i="6"/>
  <c r="AV150" i="6"/>
  <c r="AQ150" i="6"/>
  <c r="AJ150" i="6"/>
  <c r="AE150" i="6"/>
  <c r="AA150" i="6"/>
  <c r="CB149" i="6"/>
  <c r="BW149" i="6"/>
  <c r="BB149" i="6"/>
  <c r="AV149" i="6"/>
  <c r="AQ149" i="6"/>
  <c r="AJ149" i="6"/>
  <c r="AE149" i="6"/>
  <c r="AA149" i="6"/>
  <c r="CB148" i="6"/>
  <c r="BW148" i="6"/>
  <c r="BS148" i="6"/>
  <c r="BB148" i="6"/>
  <c r="AV148" i="6"/>
  <c r="AQ148" i="6"/>
  <c r="AJ148" i="6"/>
  <c r="AE148" i="6"/>
  <c r="AA148" i="6"/>
  <c r="CB147" i="6"/>
  <c r="BW147" i="6"/>
  <c r="BB147" i="6"/>
  <c r="AV147" i="6"/>
  <c r="AQ147" i="6"/>
  <c r="AJ147" i="6"/>
  <c r="AE147" i="6"/>
  <c r="AA147" i="6"/>
  <c r="CB146" i="6"/>
  <c r="BW146" i="6"/>
  <c r="BB146" i="6"/>
  <c r="AV146" i="6"/>
  <c r="AQ146" i="6"/>
  <c r="AJ146" i="6"/>
  <c r="AE146" i="6"/>
  <c r="AA146" i="6"/>
  <c r="CB145" i="6"/>
  <c r="BW145" i="6"/>
  <c r="BB145" i="6"/>
  <c r="AV145" i="6"/>
  <c r="AQ145" i="6"/>
  <c r="AJ145" i="6"/>
  <c r="AE145" i="6"/>
  <c r="AA145" i="6"/>
  <c r="CB144" i="6"/>
  <c r="BW144" i="6"/>
  <c r="BB144" i="6"/>
  <c r="AV144" i="6"/>
  <c r="AQ144" i="6"/>
  <c r="AJ144" i="6"/>
  <c r="AE144" i="6"/>
  <c r="AA144" i="6"/>
  <c r="CB143" i="6"/>
  <c r="BW143" i="6"/>
  <c r="BB143" i="6"/>
  <c r="AV143" i="6"/>
  <c r="AQ143" i="6"/>
  <c r="AJ143" i="6"/>
  <c r="AE143" i="6"/>
  <c r="AA143" i="6"/>
  <c r="CB142" i="6"/>
  <c r="BW142" i="6"/>
  <c r="BS142" i="6"/>
  <c r="BB142" i="6"/>
  <c r="AV142" i="6"/>
  <c r="AQ142" i="6"/>
  <c r="AJ142" i="6"/>
  <c r="AE142" i="6"/>
  <c r="AA142" i="6"/>
  <c r="CB141" i="6"/>
  <c r="BW141" i="6"/>
  <c r="BS141" i="6"/>
  <c r="BB141" i="6"/>
  <c r="AV141" i="6"/>
  <c r="AQ141" i="6"/>
  <c r="AJ141" i="6"/>
  <c r="AE141" i="6"/>
  <c r="AA141" i="6"/>
  <c r="CB140" i="6"/>
  <c r="BW140" i="6"/>
  <c r="BB140" i="6"/>
  <c r="AV140" i="6"/>
  <c r="AQ140" i="6"/>
  <c r="AJ140" i="6"/>
  <c r="AE140" i="6"/>
  <c r="AA140" i="6"/>
  <c r="CB139" i="6"/>
  <c r="BW139" i="6"/>
  <c r="BB139" i="6"/>
  <c r="AV139" i="6"/>
  <c r="AQ139" i="6"/>
  <c r="AJ139" i="6"/>
  <c r="AE139" i="6"/>
  <c r="CB138" i="6"/>
  <c r="BW138" i="6"/>
  <c r="BS138" i="6"/>
  <c r="BB138" i="6"/>
  <c r="AV138" i="6"/>
  <c r="AQ138" i="6"/>
  <c r="AJ138" i="6"/>
  <c r="AE138" i="6"/>
  <c r="AA138" i="6"/>
  <c r="CB137" i="6"/>
  <c r="BW137" i="6"/>
  <c r="BS137" i="6"/>
  <c r="BB137" i="6"/>
  <c r="AV137" i="6"/>
  <c r="AQ137" i="6"/>
  <c r="AJ137" i="6"/>
  <c r="AE137" i="6"/>
  <c r="CB136" i="6"/>
  <c r="BW136" i="6"/>
  <c r="BS136" i="6"/>
  <c r="BB136" i="6"/>
  <c r="AV136" i="6"/>
  <c r="AQ136" i="6"/>
  <c r="AJ136" i="6"/>
  <c r="AE136" i="6"/>
  <c r="AA136" i="6"/>
  <c r="CB135" i="6"/>
  <c r="BW135" i="6"/>
  <c r="BB135" i="6"/>
  <c r="AV135" i="6"/>
  <c r="AQ135" i="6"/>
  <c r="AJ135" i="6"/>
  <c r="AE135" i="6"/>
  <c r="CB134" i="6"/>
  <c r="BW134" i="6"/>
  <c r="BB134" i="6"/>
  <c r="AV134" i="6"/>
  <c r="AQ134" i="6"/>
  <c r="AJ134" i="6"/>
  <c r="AE134" i="6"/>
  <c r="CB133" i="6"/>
  <c r="BW133" i="6"/>
  <c r="BB133" i="6"/>
  <c r="AV133" i="6"/>
  <c r="AQ133" i="6"/>
  <c r="AJ133" i="6"/>
  <c r="AE133" i="6"/>
  <c r="CB132" i="6"/>
  <c r="BW132" i="6"/>
  <c r="BB132" i="6"/>
  <c r="AV132" i="6"/>
  <c r="AQ132" i="6"/>
  <c r="AJ132" i="6"/>
  <c r="AE132" i="6"/>
  <c r="CB131" i="6"/>
  <c r="BW131" i="6"/>
  <c r="BB131" i="6"/>
  <c r="AV131" i="6"/>
  <c r="AQ131" i="6"/>
  <c r="AJ131" i="6"/>
  <c r="AE131" i="6"/>
  <c r="CB130" i="6"/>
  <c r="BW130" i="6"/>
  <c r="BB130" i="6"/>
  <c r="AV130" i="6"/>
  <c r="AQ130" i="6"/>
  <c r="AJ130" i="6"/>
  <c r="AE130" i="6"/>
  <c r="CB129" i="6"/>
  <c r="BW129" i="6"/>
  <c r="BB129" i="6"/>
  <c r="AV129" i="6"/>
  <c r="AQ129" i="6"/>
  <c r="AJ129" i="6"/>
  <c r="AE129" i="6"/>
  <c r="CB128" i="6"/>
  <c r="BW128" i="6"/>
  <c r="BB128" i="6"/>
  <c r="AV128" i="6"/>
  <c r="AQ128" i="6"/>
  <c r="AJ128" i="6"/>
  <c r="AE128" i="6"/>
  <c r="CB127" i="6"/>
  <c r="BW127" i="6"/>
  <c r="BB127" i="6"/>
  <c r="AV127" i="6"/>
  <c r="AQ127" i="6"/>
  <c r="AJ127" i="6"/>
  <c r="AE127" i="6"/>
  <c r="CB126" i="6"/>
  <c r="BW126" i="6"/>
  <c r="BB126" i="6"/>
  <c r="AV126" i="6"/>
  <c r="AQ126" i="6"/>
  <c r="AJ126" i="6"/>
  <c r="AE126" i="6"/>
  <c r="CB125" i="6"/>
  <c r="BW125" i="6"/>
  <c r="BB125" i="6"/>
  <c r="AV125" i="6"/>
  <c r="AQ125" i="6"/>
  <c r="AJ125" i="6"/>
  <c r="AE125" i="6"/>
  <c r="CB124" i="6"/>
  <c r="BW124" i="6"/>
  <c r="BS124" i="6"/>
  <c r="BB124" i="6"/>
  <c r="AV124" i="6"/>
  <c r="AQ124" i="6"/>
  <c r="AJ124" i="6"/>
  <c r="AE124" i="6"/>
  <c r="AA124" i="6"/>
  <c r="CB123" i="6"/>
  <c r="BW123" i="6"/>
  <c r="BS123" i="6"/>
  <c r="BB123" i="6"/>
  <c r="AV123" i="6"/>
  <c r="AQ123" i="6"/>
  <c r="AJ123" i="6"/>
  <c r="AE123" i="6"/>
  <c r="AA123" i="6"/>
  <c r="CB122" i="6"/>
  <c r="BW122" i="6"/>
  <c r="BB122" i="6"/>
  <c r="AV122" i="6"/>
  <c r="AQ122" i="6"/>
  <c r="AJ122" i="6"/>
  <c r="AE122" i="6"/>
  <c r="AA122" i="6"/>
  <c r="CB121" i="6"/>
  <c r="BW121" i="6"/>
  <c r="BB121" i="6"/>
  <c r="AV121" i="6"/>
  <c r="AQ121" i="6"/>
  <c r="AJ121" i="6"/>
  <c r="AE121" i="6"/>
  <c r="AA121" i="6"/>
  <c r="CB120" i="6"/>
  <c r="BW120" i="6"/>
  <c r="BB120" i="6"/>
  <c r="AV120" i="6"/>
  <c r="AQ120" i="6"/>
  <c r="AJ120" i="6"/>
  <c r="AE120" i="6"/>
  <c r="AA120" i="6"/>
  <c r="CB119" i="6"/>
  <c r="BW119" i="6"/>
  <c r="BB119" i="6"/>
  <c r="AV119" i="6"/>
  <c r="AQ119" i="6"/>
  <c r="AJ119" i="6"/>
  <c r="AE119" i="6"/>
  <c r="AA119" i="6"/>
  <c r="CB118" i="6"/>
  <c r="BW118" i="6"/>
  <c r="BB118" i="6"/>
  <c r="AV118" i="6"/>
  <c r="AQ118" i="6"/>
  <c r="AJ118" i="6"/>
  <c r="AE118" i="6"/>
  <c r="AA118" i="6"/>
  <c r="CB117" i="6"/>
  <c r="BW117" i="6"/>
  <c r="BS117" i="6"/>
  <c r="BB117" i="6"/>
  <c r="AV117" i="6"/>
  <c r="AQ117" i="6"/>
  <c r="AJ117" i="6"/>
  <c r="AE117" i="6"/>
  <c r="AA117" i="6"/>
  <c r="CB116" i="6"/>
  <c r="BW116" i="6"/>
  <c r="BB116" i="6"/>
  <c r="AV116" i="6"/>
  <c r="AQ116" i="6"/>
  <c r="AJ116" i="6"/>
  <c r="AE116" i="6"/>
  <c r="AA116" i="6"/>
  <c r="CB115" i="6"/>
  <c r="BW115" i="6"/>
  <c r="BB115" i="6"/>
  <c r="AV115" i="6"/>
  <c r="AQ115" i="6"/>
  <c r="AJ115" i="6"/>
  <c r="AE115" i="6"/>
  <c r="AA115" i="6"/>
  <c r="CB114" i="6"/>
  <c r="BW114" i="6"/>
  <c r="BS114" i="6"/>
  <c r="BB114" i="6"/>
  <c r="AV114" i="6"/>
  <c r="AQ114" i="6"/>
  <c r="AJ114" i="6"/>
  <c r="AE114" i="6"/>
  <c r="CB113" i="6"/>
  <c r="BW113" i="6"/>
  <c r="BS113" i="6"/>
  <c r="BB113" i="6"/>
  <c r="AV113" i="6"/>
  <c r="AQ113" i="6"/>
  <c r="AJ113" i="6"/>
  <c r="AE113" i="6"/>
  <c r="AA113" i="6"/>
  <c r="CB112" i="6"/>
  <c r="BW112" i="6"/>
  <c r="BB112" i="6"/>
  <c r="AV112" i="6"/>
  <c r="AQ112" i="6"/>
  <c r="AJ112" i="6"/>
  <c r="AE112" i="6"/>
  <c r="CB111" i="6"/>
  <c r="BW111" i="6"/>
  <c r="BB111" i="6"/>
  <c r="AV111" i="6"/>
  <c r="AQ111" i="6"/>
  <c r="AJ111" i="6"/>
  <c r="AE111" i="6"/>
  <c r="CB110" i="6"/>
  <c r="BW110" i="6"/>
  <c r="BB110" i="6"/>
  <c r="AV110" i="6"/>
  <c r="AQ110" i="6"/>
  <c r="AJ110" i="6"/>
  <c r="AE110" i="6"/>
  <c r="CB109" i="6"/>
  <c r="BW109" i="6"/>
  <c r="BB109" i="6"/>
  <c r="AV109" i="6"/>
  <c r="AQ109" i="6"/>
  <c r="AJ109" i="6"/>
  <c r="AE109" i="6"/>
  <c r="CB108" i="6"/>
  <c r="BW108" i="6"/>
  <c r="BB108" i="6"/>
  <c r="AV108" i="6"/>
  <c r="AQ108" i="6"/>
  <c r="AJ108" i="6"/>
  <c r="AE108" i="6"/>
  <c r="CB107" i="6"/>
  <c r="BW107" i="6"/>
  <c r="BB107" i="6"/>
  <c r="AV107" i="6"/>
  <c r="AQ107" i="6"/>
  <c r="AJ107" i="6"/>
  <c r="AE107" i="6"/>
  <c r="CB106" i="6"/>
  <c r="BW106" i="6"/>
  <c r="BB106" i="6"/>
  <c r="AV106" i="6"/>
  <c r="AQ106" i="6"/>
  <c r="AJ106" i="6"/>
  <c r="AE106" i="6"/>
  <c r="CB105" i="6"/>
  <c r="BW105" i="6"/>
  <c r="BB105" i="6"/>
  <c r="AV105" i="6"/>
  <c r="AQ105" i="6"/>
  <c r="AJ105" i="6"/>
  <c r="AE105" i="6"/>
  <c r="CB104" i="6"/>
  <c r="BW104" i="6"/>
  <c r="BB104" i="6"/>
  <c r="AV104" i="6"/>
  <c r="AQ104" i="6"/>
  <c r="AJ104" i="6"/>
  <c r="AE104" i="6"/>
  <c r="CB103" i="6"/>
  <c r="BW103" i="6"/>
  <c r="BB103" i="6"/>
  <c r="AV103" i="6"/>
  <c r="AQ103" i="6"/>
  <c r="AJ103" i="6"/>
  <c r="AE103" i="6"/>
  <c r="CB102" i="6"/>
  <c r="BW102" i="6"/>
  <c r="BS102" i="6"/>
  <c r="BB102" i="6"/>
  <c r="AV102" i="6"/>
  <c r="AQ102" i="6"/>
  <c r="AJ102" i="6"/>
  <c r="AE102" i="6"/>
  <c r="AA102" i="6"/>
  <c r="CB101" i="6"/>
  <c r="BW101" i="6"/>
  <c r="BB101" i="6"/>
  <c r="AV101" i="6"/>
  <c r="AQ101" i="6"/>
  <c r="AJ101" i="6"/>
  <c r="AE101" i="6"/>
  <c r="CB100" i="6"/>
  <c r="BW100" i="6"/>
  <c r="BS100" i="6"/>
  <c r="BB100" i="6"/>
  <c r="AV100" i="6"/>
  <c r="AQ100" i="6"/>
  <c r="AJ100" i="6"/>
  <c r="AE100" i="6"/>
  <c r="AA100" i="6"/>
  <c r="CB99" i="6"/>
  <c r="BW99" i="6"/>
  <c r="BS99" i="6"/>
  <c r="BB99" i="6"/>
  <c r="AV99" i="6"/>
  <c r="AQ99" i="6"/>
  <c r="AJ99" i="6"/>
  <c r="AE99" i="6"/>
  <c r="AA99" i="6"/>
  <c r="CB98" i="6"/>
  <c r="BW98" i="6"/>
  <c r="BB98" i="6"/>
  <c r="AV98" i="6"/>
  <c r="AQ98" i="6"/>
  <c r="AJ98" i="6"/>
  <c r="AE98" i="6"/>
  <c r="AA98" i="6"/>
  <c r="CB97" i="6"/>
  <c r="BW97" i="6"/>
  <c r="BB97" i="6"/>
  <c r="AV97" i="6"/>
  <c r="AQ97" i="6"/>
  <c r="AJ97" i="6"/>
  <c r="AE97" i="6"/>
  <c r="AA97" i="6"/>
  <c r="CB96" i="6"/>
  <c r="BW96" i="6"/>
  <c r="BB96" i="6"/>
  <c r="AV96" i="6"/>
  <c r="AQ96" i="6"/>
  <c r="AJ96" i="6"/>
  <c r="AE96" i="6"/>
  <c r="AA96" i="6"/>
  <c r="CB95" i="6"/>
  <c r="BW95" i="6"/>
  <c r="BB95" i="6"/>
  <c r="AV95" i="6"/>
  <c r="AQ95" i="6"/>
  <c r="AJ95" i="6"/>
  <c r="AE95" i="6"/>
  <c r="AA95" i="6"/>
  <c r="CB94" i="6"/>
  <c r="BW94" i="6"/>
  <c r="BB94" i="6"/>
  <c r="AV94" i="6"/>
  <c r="AQ94" i="6"/>
  <c r="AJ94" i="6"/>
  <c r="AE94" i="6"/>
  <c r="AA94" i="6"/>
  <c r="CB93" i="6"/>
  <c r="BW93" i="6"/>
  <c r="BS93" i="6"/>
  <c r="BB93" i="6"/>
  <c r="AV93" i="6"/>
  <c r="AQ93" i="6"/>
  <c r="AJ93" i="6"/>
  <c r="AE93" i="6"/>
  <c r="AA93" i="6"/>
  <c r="CB92" i="6"/>
  <c r="BW92" i="6"/>
  <c r="BB92" i="6"/>
  <c r="AV92" i="6"/>
  <c r="AQ92" i="6"/>
  <c r="AJ92" i="6"/>
  <c r="AE92" i="6"/>
  <c r="AA92" i="6"/>
  <c r="CB91" i="6"/>
  <c r="BW91" i="6"/>
  <c r="BB91" i="6"/>
  <c r="AV91" i="6"/>
  <c r="AQ91" i="6"/>
  <c r="AJ91" i="6"/>
  <c r="AE91" i="6"/>
  <c r="AA91" i="6"/>
  <c r="CB90" i="6"/>
  <c r="BW90" i="6"/>
  <c r="BS90" i="6"/>
  <c r="BB90" i="6"/>
  <c r="AV90" i="6"/>
  <c r="AQ90" i="6"/>
  <c r="AJ90" i="6"/>
  <c r="AE90" i="6"/>
  <c r="AA90" i="6"/>
  <c r="CB89" i="6"/>
  <c r="BW89" i="6"/>
  <c r="BS89" i="6"/>
  <c r="BB89" i="6"/>
  <c r="AV89" i="6"/>
  <c r="AQ89" i="6"/>
  <c r="AJ89" i="6"/>
  <c r="AE89" i="6"/>
  <c r="CB88" i="6"/>
  <c r="BW88" i="6"/>
  <c r="BS88" i="6"/>
  <c r="BB88" i="6"/>
  <c r="AV88" i="6"/>
  <c r="AQ88" i="6"/>
  <c r="AJ88" i="6"/>
  <c r="AE88" i="6"/>
  <c r="AA88" i="6"/>
  <c r="CB87" i="6"/>
  <c r="BW87" i="6"/>
  <c r="BB87" i="6"/>
  <c r="AV87" i="6"/>
  <c r="AQ87" i="6"/>
  <c r="AJ87" i="6"/>
  <c r="AE87" i="6"/>
  <c r="CB86" i="6"/>
  <c r="BW86" i="6"/>
  <c r="BB86" i="6"/>
  <c r="AV86" i="6"/>
  <c r="AQ86" i="6"/>
  <c r="AJ86" i="6"/>
  <c r="AE86" i="6"/>
  <c r="CB85" i="6"/>
  <c r="BW85" i="6"/>
  <c r="BB85" i="6"/>
  <c r="AV85" i="6"/>
  <c r="AQ85" i="6"/>
  <c r="AJ85" i="6"/>
  <c r="AE85" i="6"/>
  <c r="CB84" i="6"/>
  <c r="BW84" i="6"/>
  <c r="BB84" i="6"/>
  <c r="AV84" i="6"/>
  <c r="AQ84" i="6"/>
  <c r="AJ84" i="6"/>
  <c r="AE84" i="6"/>
  <c r="CB83" i="6"/>
  <c r="BW83" i="6"/>
  <c r="BB83" i="6"/>
  <c r="AV83" i="6"/>
  <c r="AQ83" i="6"/>
  <c r="AJ83" i="6"/>
  <c r="AE83" i="6"/>
  <c r="CB82" i="6"/>
  <c r="BW82" i="6"/>
  <c r="BB82" i="6"/>
  <c r="AV82" i="6"/>
  <c r="AQ82" i="6"/>
  <c r="AJ82" i="6"/>
  <c r="AE82" i="6"/>
  <c r="CB81" i="6"/>
  <c r="BW81" i="6"/>
  <c r="BB81" i="6"/>
  <c r="AV81" i="6"/>
  <c r="AQ81" i="6"/>
  <c r="AJ81" i="6"/>
  <c r="AE81" i="6"/>
  <c r="CB80" i="6"/>
  <c r="BW80" i="6"/>
  <c r="BB80" i="6"/>
  <c r="AV80" i="6"/>
  <c r="AQ80" i="6"/>
  <c r="AJ80" i="6"/>
  <c r="AE80" i="6"/>
  <c r="CB79" i="6"/>
  <c r="BW79" i="6"/>
  <c r="BB79" i="6"/>
  <c r="AV79" i="6"/>
  <c r="AQ79" i="6"/>
  <c r="AJ79" i="6"/>
  <c r="AE79" i="6"/>
  <c r="CB78" i="6"/>
  <c r="BW78" i="6"/>
  <c r="BB78" i="6"/>
  <c r="AV78" i="6"/>
  <c r="AQ78" i="6"/>
  <c r="AJ78" i="6"/>
  <c r="AE78" i="6"/>
  <c r="CB77" i="6"/>
  <c r="BW77" i="6"/>
  <c r="BB77" i="6"/>
  <c r="AV77" i="6"/>
  <c r="AQ77" i="6"/>
  <c r="AJ77" i="6"/>
  <c r="AE77" i="6"/>
  <c r="CB76" i="6"/>
  <c r="BW76" i="6"/>
  <c r="BB76" i="6"/>
  <c r="AV76" i="6"/>
  <c r="AQ76" i="6"/>
  <c r="AJ76" i="6"/>
  <c r="AE76" i="6"/>
  <c r="CB75" i="6"/>
  <c r="BW75" i="6"/>
  <c r="BS75" i="6"/>
  <c r="BB75" i="6"/>
  <c r="AV75" i="6"/>
  <c r="AQ75" i="6"/>
  <c r="AJ75" i="6"/>
  <c r="AE75" i="6"/>
  <c r="AA75" i="6"/>
  <c r="CB74" i="6"/>
  <c r="BW74" i="6"/>
  <c r="BS74" i="6"/>
  <c r="BB74" i="6"/>
  <c r="AV74" i="6"/>
  <c r="AQ74" i="6"/>
  <c r="AJ74" i="6"/>
  <c r="AE74" i="6"/>
  <c r="AA74" i="6"/>
  <c r="CB73" i="6"/>
  <c r="BW73" i="6"/>
  <c r="BB73" i="6"/>
  <c r="AV73" i="6"/>
  <c r="AQ73" i="6"/>
  <c r="AJ73" i="6"/>
  <c r="AE73" i="6"/>
  <c r="AA73" i="6"/>
  <c r="CB72" i="6"/>
  <c r="BW72" i="6"/>
  <c r="BB72" i="6"/>
  <c r="AV72" i="6"/>
  <c r="AQ72" i="6"/>
  <c r="AJ72" i="6"/>
  <c r="AE72" i="6"/>
  <c r="AA72" i="6"/>
  <c r="CB71" i="6"/>
  <c r="BW71" i="6"/>
  <c r="BB71" i="6"/>
  <c r="AV71" i="6"/>
  <c r="AQ71" i="6"/>
  <c r="AJ71" i="6"/>
  <c r="AE71" i="6"/>
  <c r="AA71" i="6"/>
  <c r="CB70" i="6"/>
  <c r="BW70" i="6"/>
  <c r="BB70" i="6"/>
  <c r="AV70" i="6"/>
  <c r="AQ70" i="6"/>
  <c r="AJ70" i="6"/>
  <c r="AE70" i="6"/>
  <c r="AA70" i="6"/>
  <c r="CB69" i="6"/>
  <c r="BW69" i="6"/>
  <c r="BB69" i="6"/>
  <c r="AV69" i="6"/>
  <c r="AQ69" i="6"/>
  <c r="AJ69" i="6"/>
  <c r="AE69" i="6"/>
  <c r="AA69" i="6"/>
  <c r="CB68" i="6"/>
  <c r="BW68" i="6"/>
  <c r="BS68" i="6"/>
  <c r="BB68" i="6"/>
  <c r="AV68" i="6"/>
  <c r="AQ68" i="6"/>
  <c r="AJ68" i="6"/>
  <c r="AE68" i="6"/>
  <c r="AA68" i="6"/>
  <c r="CB67" i="6"/>
  <c r="BW67" i="6"/>
  <c r="BS67" i="6"/>
  <c r="BB67" i="6"/>
  <c r="AV67" i="6"/>
  <c r="AQ67" i="6"/>
  <c r="AJ67" i="6"/>
  <c r="AE67" i="6"/>
  <c r="AA67" i="6"/>
  <c r="CB66" i="6"/>
  <c r="BW66" i="6"/>
  <c r="BB66" i="6"/>
  <c r="AV66" i="6"/>
  <c r="AQ66" i="6"/>
  <c r="AJ66" i="6"/>
  <c r="AE66" i="6"/>
  <c r="AA66" i="6"/>
  <c r="CB65" i="6"/>
  <c r="BW65" i="6"/>
  <c r="BS65" i="6"/>
  <c r="BB65" i="6"/>
  <c r="AV65" i="6"/>
  <c r="AQ65" i="6"/>
  <c r="AJ65" i="6"/>
  <c r="AE65" i="6"/>
  <c r="CB64" i="6"/>
  <c r="BW64" i="6"/>
  <c r="BS64" i="6"/>
  <c r="BB64" i="6"/>
  <c r="AV64" i="6"/>
  <c r="AQ64" i="6"/>
  <c r="AJ64" i="6"/>
  <c r="AE64" i="6"/>
  <c r="AA64" i="6"/>
  <c r="CB63" i="6"/>
  <c r="BW63" i="6"/>
  <c r="BB63" i="6"/>
  <c r="AV63" i="6"/>
  <c r="AQ63" i="6"/>
  <c r="AJ63" i="6"/>
  <c r="AE63" i="6"/>
  <c r="CB62" i="6"/>
  <c r="BW62" i="6"/>
  <c r="BB62" i="6"/>
  <c r="AV62" i="6"/>
  <c r="AQ62" i="6"/>
  <c r="AJ62" i="6"/>
  <c r="AE62" i="6"/>
  <c r="CB61" i="6"/>
  <c r="BW61" i="6"/>
  <c r="BB61" i="6"/>
  <c r="AV61" i="6"/>
  <c r="AQ61" i="6"/>
  <c r="AJ61" i="6"/>
  <c r="AE61" i="6"/>
  <c r="CB60" i="6"/>
  <c r="BW60" i="6"/>
  <c r="BB60" i="6"/>
  <c r="AV60" i="6"/>
  <c r="AQ60" i="6"/>
  <c r="AJ60" i="6"/>
  <c r="AE60" i="6"/>
  <c r="CB59" i="6"/>
  <c r="BW59" i="6"/>
  <c r="BB59" i="6"/>
  <c r="AV59" i="6"/>
  <c r="AQ59" i="6"/>
  <c r="AJ59" i="6"/>
  <c r="AE59" i="6"/>
  <c r="CB58" i="6"/>
  <c r="BW58" i="6"/>
  <c r="BB58" i="6"/>
  <c r="AV58" i="6"/>
  <c r="AQ58" i="6"/>
  <c r="AJ58" i="6"/>
  <c r="AE58" i="6"/>
  <c r="CB57" i="6"/>
  <c r="BW57" i="6"/>
  <c r="BB57" i="6"/>
  <c r="AV57" i="6"/>
  <c r="AQ57" i="6"/>
  <c r="AJ57" i="6"/>
  <c r="AE57" i="6"/>
  <c r="CB56" i="6"/>
  <c r="BW56" i="6"/>
  <c r="BB56" i="6"/>
  <c r="AV56" i="6"/>
  <c r="AQ56" i="6"/>
  <c r="AJ56" i="6"/>
  <c r="AE56" i="6"/>
  <c r="CB55" i="6"/>
  <c r="BW55" i="6"/>
  <c r="BB55" i="6"/>
  <c r="AV55" i="6"/>
  <c r="AQ55" i="6"/>
  <c r="AJ55" i="6"/>
  <c r="AE55" i="6"/>
  <c r="CB54" i="6"/>
  <c r="BW54" i="6"/>
  <c r="BS54" i="6"/>
  <c r="BB54" i="6"/>
  <c r="AV54" i="6"/>
  <c r="AQ54" i="6"/>
  <c r="AJ54" i="6"/>
  <c r="AE54" i="6"/>
  <c r="AA54" i="6"/>
  <c r="CB53" i="6"/>
  <c r="BW53" i="6"/>
  <c r="BB53" i="6"/>
  <c r="AV53" i="6"/>
  <c r="AQ53" i="6"/>
  <c r="AJ53" i="6"/>
  <c r="AE53" i="6"/>
  <c r="CB52" i="6"/>
  <c r="BW52" i="6"/>
  <c r="BB52" i="6"/>
  <c r="AV52" i="6"/>
  <c r="AQ52" i="6"/>
  <c r="AJ52" i="6"/>
  <c r="AE52" i="6"/>
  <c r="CB51" i="6"/>
  <c r="BW51" i="6"/>
  <c r="BS51" i="6"/>
  <c r="BB51" i="6"/>
  <c r="AV51" i="6"/>
  <c r="AQ51" i="6"/>
  <c r="AJ51" i="6"/>
  <c r="AE51" i="6"/>
  <c r="AA51" i="6"/>
  <c r="CB50" i="6"/>
  <c r="BW50" i="6"/>
  <c r="BS50" i="6"/>
  <c r="BB50" i="6"/>
  <c r="AV50" i="6"/>
  <c r="AQ50" i="6"/>
  <c r="AJ50" i="6"/>
  <c r="AE50" i="6"/>
  <c r="AA50" i="6"/>
  <c r="CB49" i="6"/>
  <c r="BW49" i="6"/>
  <c r="BB49" i="6"/>
  <c r="AV49" i="6"/>
  <c r="AQ49" i="6"/>
  <c r="AJ49" i="6"/>
  <c r="AE49" i="6"/>
  <c r="AA49" i="6"/>
  <c r="CB48" i="6"/>
  <c r="BW48" i="6"/>
  <c r="BB48" i="6"/>
  <c r="AV48" i="6"/>
  <c r="AQ48" i="6"/>
  <c r="AJ48" i="6"/>
  <c r="AE48" i="6"/>
  <c r="AA48" i="6"/>
  <c r="CB47" i="6"/>
  <c r="BW47" i="6"/>
  <c r="BB47" i="6"/>
  <c r="AV47" i="6"/>
  <c r="AQ47" i="6"/>
  <c r="AJ47" i="6"/>
  <c r="AE47" i="6"/>
  <c r="AA47" i="6"/>
  <c r="CB46" i="6"/>
  <c r="BW46" i="6"/>
  <c r="BB46" i="6"/>
  <c r="AV46" i="6"/>
  <c r="AQ46" i="6"/>
  <c r="AJ46" i="6"/>
  <c r="AE46" i="6"/>
  <c r="AA46" i="6"/>
  <c r="CB45" i="6"/>
  <c r="BW45" i="6"/>
  <c r="BS45" i="6"/>
  <c r="BB45" i="6"/>
  <c r="AV45" i="6"/>
  <c r="AQ45" i="6"/>
  <c r="AJ45" i="6"/>
  <c r="AE45" i="6"/>
  <c r="AA45" i="6"/>
  <c r="CB44" i="6"/>
  <c r="BW44" i="6"/>
  <c r="BS44" i="6"/>
  <c r="BB44" i="6"/>
  <c r="AV44" i="6"/>
  <c r="AQ44" i="6"/>
  <c r="AJ44" i="6"/>
  <c r="AE44" i="6"/>
  <c r="AA44" i="6"/>
  <c r="CB43" i="6"/>
  <c r="BW43" i="6"/>
  <c r="BB43" i="6"/>
  <c r="AV43" i="6"/>
  <c r="AQ43" i="6"/>
  <c r="AJ43" i="6"/>
  <c r="AE43" i="6"/>
  <c r="AA43" i="6"/>
  <c r="CB42" i="6"/>
  <c r="BW42" i="6"/>
  <c r="BB42" i="6"/>
  <c r="AV42" i="6"/>
  <c r="AQ42" i="6"/>
  <c r="AJ42" i="6"/>
  <c r="AE42" i="6"/>
  <c r="AA42" i="6"/>
  <c r="CB41" i="6"/>
  <c r="BW41" i="6"/>
  <c r="BS41" i="6"/>
  <c r="BB41" i="6"/>
  <c r="AV41" i="6"/>
  <c r="AQ41" i="6"/>
  <c r="AJ41" i="6"/>
  <c r="AE41" i="6"/>
  <c r="AA41" i="6"/>
  <c r="CB40" i="6"/>
  <c r="BW40" i="6"/>
  <c r="BS40" i="6"/>
  <c r="BB40" i="6"/>
  <c r="AV40" i="6"/>
  <c r="AQ40" i="6"/>
  <c r="AJ40" i="6"/>
  <c r="AE40" i="6"/>
  <c r="CB39" i="6"/>
  <c r="BW39" i="6"/>
  <c r="BS39" i="6"/>
  <c r="BB39" i="6"/>
  <c r="AV39" i="6"/>
  <c r="AQ39" i="6"/>
  <c r="AJ39" i="6"/>
  <c r="AE39" i="6"/>
  <c r="AA39" i="6"/>
  <c r="CB38" i="6"/>
  <c r="BW38" i="6"/>
  <c r="BB38" i="6"/>
  <c r="AV38" i="6"/>
  <c r="AQ38" i="6"/>
  <c r="AJ38" i="6"/>
  <c r="AE38" i="6"/>
  <c r="CB37" i="6"/>
  <c r="BW37" i="6"/>
  <c r="BB37" i="6"/>
  <c r="AV37" i="6"/>
  <c r="AQ37" i="6"/>
  <c r="AJ37" i="6"/>
  <c r="AE37" i="6"/>
  <c r="CB36" i="6"/>
  <c r="BW36" i="6"/>
  <c r="BB36" i="6"/>
  <c r="AV36" i="6"/>
  <c r="AQ36" i="6"/>
  <c r="AJ36" i="6"/>
  <c r="AE36" i="6"/>
  <c r="CB35" i="6"/>
  <c r="BW35" i="6"/>
  <c r="BB35" i="6"/>
  <c r="AV35" i="6"/>
  <c r="AQ35" i="6"/>
  <c r="AJ35" i="6"/>
  <c r="AE35" i="6"/>
  <c r="CB34" i="6"/>
  <c r="BW34" i="6"/>
  <c r="BB34" i="6"/>
  <c r="AV34" i="6"/>
  <c r="AQ34" i="6"/>
  <c r="AJ34" i="6"/>
  <c r="AE34" i="6"/>
  <c r="CB33" i="6"/>
  <c r="BW33" i="6"/>
  <c r="BB33" i="6"/>
  <c r="AV33" i="6"/>
  <c r="AQ33" i="6"/>
  <c r="AJ33" i="6"/>
  <c r="AE33" i="6"/>
  <c r="CB32" i="6"/>
  <c r="BW32" i="6"/>
  <c r="BB32" i="6"/>
  <c r="AV32" i="6"/>
  <c r="AQ32" i="6"/>
  <c r="AJ32" i="6"/>
  <c r="AE32" i="6"/>
  <c r="CB31" i="6"/>
  <c r="BW31" i="6"/>
  <c r="BB31" i="6"/>
  <c r="AV31" i="6"/>
  <c r="AQ31" i="6"/>
  <c r="AJ31" i="6"/>
  <c r="AE31" i="6"/>
  <c r="CB30" i="6"/>
  <c r="BW30" i="6"/>
  <c r="BS30" i="6"/>
  <c r="BB30" i="6"/>
  <c r="AV30" i="6"/>
  <c r="AQ30" i="6"/>
  <c r="AJ30" i="6"/>
  <c r="AE30" i="6"/>
  <c r="AA30" i="6"/>
  <c r="CB29" i="6"/>
  <c r="BW29" i="6"/>
  <c r="BS29" i="6"/>
  <c r="BB29" i="6"/>
  <c r="AV29" i="6"/>
  <c r="AQ29" i="6"/>
  <c r="AJ29" i="6"/>
  <c r="AE29" i="6"/>
  <c r="AA29" i="6"/>
  <c r="CB28" i="6"/>
  <c r="BW28" i="6"/>
  <c r="BB28" i="6"/>
  <c r="AV28" i="6"/>
  <c r="AQ28" i="6"/>
  <c r="AJ28" i="6"/>
  <c r="AE28" i="6"/>
  <c r="AA28" i="6"/>
  <c r="CB27" i="6"/>
  <c r="BW27" i="6"/>
  <c r="BB27" i="6"/>
  <c r="AV27" i="6"/>
  <c r="AQ27" i="6"/>
  <c r="AJ27" i="6"/>
  <c r="AE27" i="6"/>
  <c r="AA27" i="6"/>
  <c r="CB26" i="6"/>
  <c r="BW26" i="6"/>
  <c r="BB26" i="6"/>
  <c r="AV26" i="6"/>
  <c r="AQ26" i="6"/>
  <c r="AJ26" i="6"/>
  <c r="AE26" i="6"/>
  <c r="AA26" i="6"/>
  <c r="CB25" i="6"/>
  <c r="BW25" i="6"/>
  <c r="BB25" i="6"/>
  <c r="AV25" i="6"/>
  <c r="AQ25" i="6"/>
  <c r="AJ25" i="6"/>
  <c r="AE25" i="6"/>
  <c r="AA25" i="6"/>
  <c r="CB24" i="6"/>
  <c r="BW24" i="6"/>
  <c r="BS24" i="6"/>
  <c r="BB24" i="6"/>
  <c r="AV24" i="6"/>
  <c r="AQ24" i="6"/>
  <c r="AJ24" i="6"/>
  <c r="AE24" i="6"/>
  <c r="AA24" i="6"/>
  <c r="CB23" i="6"/>
  <c r="BW23" i="6"/>
  <c r="BB23" i="6"/>
  <c r="AV23" i="6"/>
  <c r="AQ23" i="6"/>
  <c r="AJ23" i="6"/>
  <c r="AE23" i="6"/>
  <c r="AA23" i="6"/>
  <c r="CB22" i="6"/>
  <c r="BW22" i="6"/>
  <c r="BB22" i="6"/>
  <c r="AV22" i="6"/>
  <c r="AQ22" i="6"/>
  <c r="AJ22" i="6"/>
  <c r="AE22" i="6"/>
  <c r="AA22" i="6"/>
  <c r="CB21" i="6"/>
  <c r="BW21" i="6"/>
  <c r="BB21" i="6"/>
  <c r="AV21" i="6"/>
  <c r="AQ21" i="6"/>
  <c r="AJ21" i="6"/>
  <c r="AE21" i="6"/>
  <c r="AA21" i="6"/>
  <c r="CB20" i="6"/>
  <c r="BW20" i="6"/>
  <c r="BB20" i="6"/>
  <c r="AV20" i="6"/>
  <c r="AQ20" i="6"/>
  <c r="AJ20" i="6"/>
  <c r="AE20" i="6"/>
  <c r="CB19" i="6"/>
  <c r="BW19" i="6"/>
  <c r="BS19" i="6"/>
  <c r="BB19" i="6"/>
  <c r="AV19" i="6"/>
  <c r="AQ19" i="6"/>
  <c r="AJ19" i="6"/>
  <c r="AE19" i="6"/>
  <c r="AA19" i="6"/>
  <c r="CB18" i="6"/>
  <c r="BW18" i="6"/>
  <c r="BS18" i="6"/>
  <c r="BB18" i="6"/>
  <c r="AV18" i="6"/>
  <c r="AQ18" i="6"/>
  <c r="AJ18" i="6"/>
  <c r="AE18" i="6"/>
  <c r="CB17" i="6"/>
  <c r="BW17" i="6"/>
  <c r="BS17" i="6"/>
  <c r="BB17" i="6"/>
  <c r="AV17" i="6"/>
  <c r="AQ17" i="6"/>
  <c r="AJ17" i="6"/>
  <c r="AE17" i="6"/>
  <c r="AA17" i="6"/>
  <c r="CB16" i="6"/>
  <c r="BW16" i="6"/>
  <c r="BB16" i="6"/>
  <c r="AV16" i="6"/>
  <c r="AQ16" i="6"/>
  <c r="AJ16" i="6"/>
  <c r="AE16" i="6"/>
  <c r="CB15" i="6"/>
  <c r="BW15" i="6"/>
  <c r="BB15" i="6"/>
  <c r="AV15" i="6"/>
  <c r="AQ15" i="6"/>
  <c r="AJ15" i="6"/>
  <c r="AE15" i="6"/>
  <c r="CB14" i="6"/>
  <c r="BW14" i="6"/>
  <c r="BB14" i="6"/>
  <c r="AV14" i="6"/>
  <c r="AQ14" i="6"/>
  <c r="AJ14" i="6"/>
  <c r="AE14" i="6"/>
  <c r="CB13" i="6"/>
  <c r="BW13" i="6"/>
  <c r="BB13" i="6"/>
  <c r="AV13" i="6"/>
  <c r="AQ13" i="6"/>
  <c r="AJ13" i="6"/>
  <c r="AE13" i="6"/>
  <c r="CB12" i="6"/>
  <c r="BW12" i="6"/>
  <c r="BB12" i="6"/>
  <c r="AV12" i="6"/>
  <c r="AQ12" i="6"/>
  <c r="AJ12" i="6"/>
  <c r="AE12" i="6"/>
  <c r="CB11" i="6"/>
  <c r="BW11" i="6"/>
  <c r="BB11" i="6"/>
  <c r="AV11" i="6"/>
  <c r="AQ11" i="6"/>
  <c r="AJ11" i="6"/>
  <c r="AE11" i="6"/>
  <c r="BQ98" i="6" l="1"/>
  <c r="BS98" i="6" s="1"/>
  <c r="CD98" i="6" s="1"/>
  <c r="BQ122" i="6"/>
  <c r="BS122" i="6" s="1"/>
  <c r="CD122" i="6" s="1"/>
  <c r="BQ155" i="6"/>
  <c r="BS155" i="6" s="1"/>
  <c r="CD155" i="6" s="1"/>
  <c r="BQ73" i="6"/>
  <c r="BS73" i="6" s="1"/>
  <c r="CD73" i="6" s="1"/>
  <c r="BQ147" i="6"/>
  <c r="BS147" i="6" s="1"/>
  <c r="CD147" i="6" s="1"/>
  <c r="W133" i="6"/>
  <c r="Y133" i="6" s="1"/>
  <c r="AA133" i="6" s="1"/>
  <c r="AL133" i="6" s="1"/>
  <c r="W141" i="6"/>
  <c r="BD61" i="6"/>
  <c r="W14" i="6"/>
  <c r="Y14" i="6" s="1"/>
  <c r="AA14" i="6" s="1"/>
  <c r="AL14" i="6" s="1"/>
  <c r="W117" i="6"/>
  <c r="W165" i="6"/>
  <c r="AL67" i="6"/>
  <c r="W21" i="6"/>
  <c r="W37" i="6"/>
  <c r="Y37" i="6" s="1"/>
  <c r="AA37" i="6" s="1"/>
  <c r="AL37" i="6" s="1"/>
  <c r="W77" i="6"/>
  <c r="Y77" i="6" s="1"/>
  <c r="AA77" i="6" s="1"/>
  <c r="AL77" i="6" s="1"/>
  <c r="W149" i="6"/>
  <c r="W25" i="6"/>
  <c r="W33" i="6"/>
  <c r="Y33" i="6" s="1"/>
  <c r="AA33" i="6" s="1"/>
  <c r="AL33" i="6" s="1"/>
  <c r="W41" i="6"/>
  <c r="W49" i="6"/>
  <c r="W65" i="6"/>
  <c r="Y65" i="6" s="1"/>
  <c r="AA65" i="6" s="1"/>
  <c r="AL65" i="6" s="1"/>
  <c r="W89" i="6"/>
  <c r="Y89" i="6" s="1"/>
  <c r="AA89" i="6" s="1"/>
  <c r="AL89" i="6" s="1"/>
  <c r="W22" i="6"/>
  <c r="W38" i="6"/>
  <c r="Y38" i="6" s="1"/>
  <c r="AA38" i="6" s="1"/>
  <c r="AL38" i="6" s="1"/>
  <c r="W54" i="6"/>
  <c r="W86" i="6"/>
  <c r="Y86" i="6" s="1"/>
  <c r="AA86" i="6" s="1"/>
  <c r="AL86" i="6" s="1"/>
  <c r="W94" i="6"/>
  <c r="W110" i="6"/>
  <c r="Y110" i="6" s="1"/>
  <c r="AA110" i="6" s="1"/>
  <c r="AL110" i="6" s="1"/>
  <c r="W134" i="6"/>
  <c r="Y134" i="6" s="1"/>
  <c r="AA134" i="6" s="1"/>
  <c r="AL134" i="6" s="1"/>
  <c r="BD98" i="6"/>
  <c r="CD154" i="6"/>
  <c r="CD165" i="6"/>
  <c r="BD107" i="6"/>
  <c r="W11" i="6"/>
  <c r="Y11" i="6" s="1"/>
  <c r="AA11" i="6" s="1"/>
  <c r="W19" i="6"/>
  <c r="W35" i="6"/>
  <c r="Y35" i="6" s="1"/>
  <c r="AA35" i="6" s="1"/>
  <c r="AL35" i="6" s="1"/>
  <c r="W43" i="6"/>
  <c r="W83" i="6"/>
  <c r="Y83" i="6" s="1"/>
  <c r="AA83" i="6" s="1"/>
  <c r="AL83" i="6" s="1"/>
  <c r="W99" i="6"/>
  <c r="W107" i="6"/>
  <c r="Y107" i="6" s="1"/>
  <c r="AA107" i="6" s="1"/>
  <c r="AL107" i="6" s="1"/>
  <c r="W147" i="6"/>
  <c r="W163" i="6"/>
  <c r="W13" i="6"/>
  <c r="Y13" i="6" s="1"/>
  <c r="AA13" i="6" s="1"/>
  <c r="AL13" i="6" s="1"/>
  <c r="W18" i="6"/>
  <c r="Y18" i="6" s="1"/>
  <c r="AA18" i="6" s="1"/>
  <c r="AL18" i="6" s="1"/>
  <c r="W26" i="6"/>
  <c r="W34" i="6"/>
  <c r="Y34" i="6" s="1"/>
  <c r="AA34" i="6" s="1"/>
  <c r="AL34" i="6" s="1"/>
  <c r="W50" i="6"/>
  <c r="W66" i="6"/>
  <c r="W90" i="6"/>
  <c r="W98" i="6"/>
  <c r="W114" i="6"/>
  <c r="Y114" i="6" s="1"/>
  <c r="AA114" i="6" s="1"/>
  <c r="AL114" i="6" s="1"/>
  <c r="W130" i="6"/>
  <c r="Y130" i="6" s="1"/>
  <c r="AA130" i="6" s="1"/>
  <c r="AL130" i="6" s="1"/>
  <c r="W146" i="6"/>
  <c r="W154" i="6"/>
  <c r="W162" i="6"/>
  <c r="BD39" i="6"/>
  <c r="AL75" i="6"/>
  <c r="BD55" i="6"/>
  <c r="BD68" i="6"/>
  <c r="BD20" i="6"/>
  <c r="CD51" i="6"/>
  <c r="CD164" i="6"/>
  <c r="W121" i="6"/>
  <c r="W129" i="6"/>
  <c r="Y129" i="6" s="1"/>
  <c r="AA129" i="6" s="1"/>
  <c r="AL129" i="6" s="1"/>
  <c r="CD34" i="6"/>
  <c r="CD42" i="6"/>
  <c r="BD148" i="6"/>
  <c r="W76" i="6"/>
  <c r="Y76" i="6" s="1"/>
  <c r="AA76" i="6" s="1"/>
  <c r="AL76" i="6" s="1"/>
  <c r="W92" i="6"/>
  <c r="W156" i="6"/>
  <c r="CD28" i="6"/>
  <c r="BD100" i="6"/>
  <c r="CD84" i="6"/>
  <c r="CD152" i="6"/>
  <c r="BD93" i="6"/>
  <c r="BD117" i="6"/>
  <c r="AL90" i="6"/>
  <c r="BD110" i="6"/>
  <c r="AL157" i="6"/>
  <c r="AL22" i="6"/>
  <c r="CD29" i="6"/>
  <c r="AL98" i="6"/>
  <c r="W15" i="6"/>
  <c r="Y15" i="6" s="1"/>
  <c r="AA15" i="6" s="1"/>
  <c r="AL15" i="6" s="1"/>
  <c r="W39" i="6"/>
  <c r="W55" i="6"/>
  <c r="Y55" i="6" s="1"/>
  <c r="AA55" i="6" s="1"/>
  <c r="AL55" i="6" s="1"/>
  <c r="W63" i="6"/>
  <c r="Y63" i="6" s="1"/>
  <c r="AA63" i="6" s="1"/>
  <c r="AL63" i="6" s="1"/>
  <c r="W87" i="6"/>
  <c r="Y87" i="6" s="1"/>
  <c r="AA87" i="6" s="1"/>
  <c r="AL87" i="6" s="1"/>
  <c r="W111" i="6"/>
  <c r="Y111" i="6" s="1"/>
  <c r="AA111" i="6" s="1"/>
  <c r="AL111" i="6" s="1"/>
  <c r="W119" i="6"/>
  <c r="CD31" i="6"/>
  <c r="CD95" i="6"/>
  <c r="AL91" i="6"/>
  <c r="BD70" i="6"/>
  <c r="CD32" i="6"/>
  <c r="AL165" i="6"/>
  <c r="CD56" i="6"/>
  <c r="BD97" i="6"/>
  <c r="CD100" i="6"/>
  <c r="AL155" i="6"/>
  <c r="BD90" i="6"/>
  <c r="AL148" i="6"/>
  <c r="CD60" i="6"/>
  <c r="CD76" i="6"/>
  <c r="BD79" i="6"/>
  <c r="AL146" i="6"/>
  <c r="BD17" i="6"/>
  <c r="BD50" i="6"/>
  <c r="BD123" i="6"/>
  <c r="BD164" i="6"/>
  <c r="AL29" i="6"/>
  <c r="BD52" i="6"/>
  <c r="CD44" i="6"/>
  <c r="AL44" i="6"/>
  <c r="BD29" i="6"/>
  <c r="BD78" i="6"/>
  <c r="CD113" i="6"/>
  <c r="BD136" i="6"/>
  <c r="BD121" i="6"/>
  <c r="CD124" i="6"/>
  <c r="AL144" i="6"/>
  <c r="CD157" i="6"/>
  <c r="CD14" i="6"/>
  <c r="BD147" i="6"/>
  <c r="BD161" i="6"/>
  <c r="CD15" i="6"/>
  <c r="CD55" i="6"/>
  <c r="CD63" i="6"/>
  <c r="CD87" i="6"/>
  <c r="CD109" i="6"/>
  <c r="CD13" i="6"/>
  <c r="CD137" i="6"/>
  <c r="CD126" i="6"/>
  <c r="CD128" i="6"/>
  <c r="AL50" i="6"/>
  <c r="CD151" i="6"/>
  <c r="CD77" i="6"/>
  <c r="BD31" i="6"/>
  <c r="BD165" i="6"/>
  <c r="AL73" i="6"/>
  <c r="CD141" i="6"/>
  <c r="BD162" i="6"/>
  <c r="AL28" i="6"/>
  <c r="BD58" i="6"/>
  <c r="BD145" i="6"/>
  <c r="AL152" i="6"/>
  <c r="BD81" i="6"/>
  <c r="CD58" i="6"/>
  <c r="AL116" i="6"/>
  <c r="BD119" i="6"/>
  <c r="CD138" i="6"/>
  <c r="CD145" i="6"/>
  <c r="CD106" i="6"/>
  <c r="AL27" i="6"/>
  <c r="BD28" i="6"/>
  <c r="BD128" i="6"/>
  <c r="BD14" i="6"/>
  <c r="BD18" i="6"/>
  <c r="BD132" i="6"/>
  <c r="AL162" i="6"/>
  <c r="BD25" i="6"/>
  <c r="BD91" i="6"/>
  <c r="AL122" i="6"/>
  <c r="BD125" i="6"/>
  <c r="BD84" i="6"/>
  <c r="BD101" i="6"/>
  <c r="BD105" i="6"/>
  <c r="CD115" i="6"/>
  <c r="BD122" i="6"/>
  <c r="BD22" i="6"/>
  <c r="AL43" i="6"/>
  <c r="BD73" i="6"/>
  <c r="BD159" i="6"/>
  <c r="CD162" i="6"/>
  <c r="CD90" i="6"/>
  <c r="BD116" i="6"/>
  <c r="BD60" i="6"/>
  <c r="AL123" i="6"/>
  <c r="BD26" i="6"/>
  <c r="CD136" i="6"/>
  <c r="AL163" i="6"/>
  <c r="CD19" i="6"/>
  <c r="BD33" i="6"/>
  <c r="BD40" i="6"/>
  <c r="AL99" i="6"/>
  <c r="BD106" i="6"/>
  <c r="CD119" i="6"/>
  <c r="CD116" i="6"/>
  <c r="BD23" i="6"/>
  <c r="CD26" i="6"/>
  <c r="AL120" i="6"/>
  <c r="W20" i="6"/>
  <c r="AA20" i="6" s="1"/>
  <c r="AL20" i="6" s="1"/>
  <c r="W44" i="6"/>
  <c r="W84" i="6"/>
  <c r="Y84" i="6" s="1"/>
  <c r="AA84" i="6" s="1"/>
  <c r="AL84" i="6" s="1"/>
  <c r="W108" i="6"/>
  <c r="Y108" i="6" s="1"/>
  <c r="AA108" i="6" s="1"/>
  <c r="AL108" i="6" s="1"/>
  <c r="W116" i="6"/>
  <c r="W124" i="6"/>
  <c r="W132" i="6"/>
  <c r="Y132" i="6" s="1"/>
  <c r="AA132" i="6" s="1"/>
  <c r="AL132" i="6" s="1"/>
  <c r="AL17" i="6"/>
  <c r="AL41" i="6"/>
  <c r="AL51" i="6"/>
  <c r="CD140" i="6"/>
  <c r="CD47" i="6"/>
  <c r="BD54" i="6"/>
  <c r="CD64" i="6"/>
  <c r="AL25" i="6"/>
  <c r="AL70" i="6"/>
  <c r="CD96" i="6"/>
  <c r="BD99" i="6"/>
  <c r="CD21" i="6"/>
  <c r="BD138" i="6"/>
  <c r="CD41" i="6"/>
  <c r="BD67" i="6"/>
  <c r="BD87" i="6"/>
  <c r="AL97" i="6"/>
  <c r="BD113" i="6"/>
  <c r="CD148" i="6"/>
  <c r="BD37" i="6"/>
  <c r="BD151" i="6"/>
  <c r="AL54" i="6"/>
  <c r="CD12" i="6"/>
  <c r="CD25" i="6"/>
  <c r="AL48" i="6"/>
  <c r="BD38" i="6"/>
  <c r="AL45" i="6"/>
  <c r="CD54" i="6"/>
  <c r="BD74" i="6"/>
  <c r="CD93" i="6"/>
  <c r="W24" i="6"/>
  <c r="W40" i="6"/>
  <c r="Y40" i="6" s="1"/>
  <c r="AA40" i="6" s="1"/>
  <c r="AL40" i="6" s="1"/>
  <c r="W48" i="6"/>
  <c r="W64" i="6"/>
  <c r="W104" i="6"/>
  <c r="Y104" i="6" s="1"/>
  <c r="AA104" i="6" s="1"/>
  <c r="AL104" i="6" s="1"/>
  <c r="W128" i="6"/>
  <c r="Y128" i="6" s="1"/>
  <c r="AA128" i="6" s="1"/>
  <c r="AL128" i="6" s="1"/>
  <c r="W160" i="6"/>
  <c r="AL153" i="6"/>
  <c r="CD23" i="6"/>
  <c r="CD88" i="6"/>
  <c r="CD104" i="6"/>
  <c r="BD111" i="6"/>
  <c r="CD120" i="6"/>
  <c r="CD123" i="6"/>
  <c r="BD143" i="6"/>
  <c r="CD159" i="6"/>
  <c r="CD39" i="6"/>
  <c r="CD52" i="6"/>
  <c r="CD91" i="6"/>
  <c r="BD140" i="6"/>
  <c r="AL150" i="6"/>
  <c r="CD45" i="6"/>
  <c r="AL24" i="6"/>
  <c r="CD49" i="6"/>
  <c r="BD108" i="6"/>
  <c r="BD13" i="6"/>
  <c r="CD101" i="6"/>
  <c r="CD111" i="6"/>
  <c r="CD143" i="6"/>
  <c r="CD153" i="6"/>
  <c r="BD56" i="6"/>
  <c r="AL66" i="6"/>
  <c r="BD95" i="6"/>
  <c r="AL118" i="6"/>
  <c r="CD127" i="6"/>
  <c r="BD150" i="6"/>
  <c r="W36" i="6"/>
  <c r="Y36" i="6" s="1"/>
  <c r="AA36" i="6" s="1"/>
  <c r="AL36" i="6" s="1"/>
  <c r="W52" i="6"/>
  <c r="Y52" i="6" s="1"/>
  <c r="AA52" i="6" s="1"/>
  <c r="AL52" i="6" s="1"/>
  <c r="W100" i="6"/>
  <c r="W164" i="6"/>
  <c r="BD126" i="6"/>
  <c r="BD94" i="6"/>
  <c r="BD32" i="6"/>
  <c r="BD89" i="6"/>
  <c r="CD108" i="6"/>
  <c r="BD118" i="6"/>
  <c r="BD134" i="6"/>
  <c r="CD158" i="6"/>
  <c r="CD16" i="6"/>
  <c r="CD97" i="6"/>
  <c r="BD133" i="6"/>
  <c r="BD53" i="6"/>
  <c r="BD76" i="6"/>
  <c r="BD157" i="6"/>
  <c r="CD160" i="6"/>
  <c r="W45" i="6"/>
  <c r="W85" i="6"/>
  <c r="Y85" i="6" s="1"/>
  <c r="AA85" i="6" s="1"/>
  <c r="AL85" i="6" s="1"/>
  <c r="CD67" i="6"/>
  <c r="CD38" i="6"/>
  <c r="BD42" i="6"/>
  <c r="CD11" i="6"/>
  <c r="CD24" i="6"/>
  <c r="CD69" i="6"/>
  <c r="CD79" i="6"/>
  <c r="BD86" i="6"/>
  <c r="BD102" i="6"/>
  <c r="BD115" i="6"/>
  <c r="CD121" i="6"/>
  <c r="AL141" i="6"/>
  <c r="BD144" i="6"/>
  <c r="W137" i="6"/>
  <c r="Y137" i="6" s="1"/>
  <c r="AA137" i="6" s="1"/>
  <c r="AL137" i="6" s="1"/>
  <c r="AL88" i="6"/>
  <c r="BD63" i="6"/>
  <c r="CD92" i="6"/>
  <c r="AL96" i="6"/>
  <c r="W32" i="6"/>
  <c r="Y32" i="6" s="1"/>
  <c r="AA32" i="6" s="1"/>
  <c r="AL32" i="6" s="1"/>
  <c r="W47" i="6"/>
  <c r="W57" i="6"/>
  <c r="Y57" i="6" s="1"/>
  <c r="AA57" i="6" s="1"/>
  <c r="AL57" i="6" s="1"/>
  <c r="W74" i="6"/>
  <c r="W79" i="6"/>
  <c r="Y79" i="6" s="1"/>
  <c r="AA79" i="6" s="1"/>
  <c r="AL79" i="6" s="1"/>
  <c r="W96" i="6"/>
  <c r="W152" i="6"/>
  <c r="W109" i="6"/>
  <c r="Y109" i="6" s="1"/>
  <c r="AA109" i="6" s="1"/>
  <c r="AL109" i="6" s="1"/>
  <c r="W16" i="6"/>
  <c r="Y16" i="6" s="1"/>
  <c r="AA16" i="6" s="1"/>
  <c r="AL16" i="6" s="1"/>
  <c r="W143" i="6"/>
  <c r="W148" i="6"/>
  <c r="W53" i="6"/>
  <c r="Y53" i="6" s="1"/>
  <c r="AA53" i="6" s="1"/>
  <c r="AL53" i="6" s="1"/>
  <c r="W75" i="6"/>
  <c r="W93" i="6"/>
  <c r="W131" i="6"/>
  <c r="Y131" i="6" s="1"/>
  <c r="AA131" i="6" s="1"/>
  <c r="AL131" i="6" s="1"/>
  <c r="W153" i="6"/>
  <c r="W73" i="6"/>
  <c r="W135" i="6"/>
  <c r="Y135" i="6" s="1"/>
  <c r="AA135" i="6" s="1"/>
  <c r="AL135" i="6" s="1"/>
  <c r="W56" i="6"/>
  <c r="Y56" i="6" s="1"/>
  <c r="AA56" i="6" s="1"/>
  <c r="AL56" i="6" s="1"/>
  <c r="W78" i="6"/>
  <c r="Y78" i="6" s="1"/>
  <c r="AA78" i="6" s="1"/>
  <c r="AL78" i="6" s="1"/>
  <c r="W12" i="6"/>
  <c r="Y12" i="6" s="1"/>
  <c r="AA12" i="6" s="1"/>
  <c r="AL12" i="6" s="1"/>
  <c r="W105" i="6"/>
  <c r="Y105" i="6" s="1"/>
  <c r="AA105" i="6" s="1"/>
  <c r="AL105" i="6" s="1"/>
  <c r="W122" i="6"/>
  <c r="W139" i="6"/>
  <c r="Y139" i="6" s="1"/>
  <c r="AA139" i="6" s="1"/>
  <c r="AL139" i="6" s="1"/>
  <c r="W161" i="6"/>
  <c r="CD81" i="6"/>
  <c r="BD120" i="6"/>
  <c r="CD163" i="6"/>
  <c r="AL47" i="6"/>
  <c r="CD129" i="6"/>
  <c r="BD77" i="6"/>
  <c r="BD24" i="6"/>
  <c r="CD33" i="6"/>
  <c r="BD141" i="6"/>
  <c r="W80" i="6"/>
  <c r="Y80" i="6" s="1"/>
  <c r="AA80" i="6" s="1"/>
  <c r="AL80" i="6" s="1"/>
  <c r="W112" i="6"/>
  <c r="Y112" i="6" s="1"/>
  <c r="AA112" i="6" s="1"/>
  <c r="AL112" i="6" s="1"/>
  <c r="BD15" i="6"/>
  <c r="BD59" i="6"/>
  <c r="AL64" i="6"/>
  <c r="BD66" i="6"/>
  <c r="CD68" i="6"/>
  <c r="W71" i="6"/>
  <c r="BD96" i="6"/>
  <c r="W103" i="6"/>
  <c r="Y103" i="6" s="1"/>
  <c r="AA103" i="6" s="1"/>
  <c r="AL103" i="6" s="1"/>
  <c r="BD114" i="6"/>
  <c r="AL121" i="6"/>
  <c r="CD125" i="6"/>
  <c r="BD155" i="6"/>
  <c r="CD22" i="6"/>
  <c r="BD43" i="6"/>
  <c r="CD61" i="6"/>
  <c r="AL71" i="6"/>
  <c r="CD75" i="6"/>
  <c r="CD107" i="6"/>
  <c r="AL119" i="6"/>
  <c r="BD130" i="6"/>
  <c r="CD134" i="6"/>
  <c r="BD139" i="6"/>
  <c r="W151" i="6"/>
  <c r="BD27" i="6"/>
  <c r="BD36" i="6"/>
  <c r="BD57" i="6"/>
  <c r="W62" i="6"/>
  <c r="Y62" i="6" s="1"/>
  <c r="AA62" i="6" s="1"/>
  <c r="AL62" i="6" s="1"/>
  <c r="BD80" i="6"/>
  <c r="CD82" i="6"/>
  <c r="CD89" i="6"/>
  <c r="AL94" i="6"/>
  <c r="W101" i="6"/>
  <c r="Y101" i="6" s="1"/>
  <c r="AA101" i="6" s="1"/>
  <c r="AL101" i="6" s="1"/>
  <c r="BD112" i="6"/>
  <c r="CD132" i="6"/>
  <c r="W144" i="6"/>
  <c r="AL151" i="6"/>
  <c r="AL160" i="6"/>
  <c r="CD20" i="6"/>
  <c r="W23" i="6"/>
  <c r="BD34" i="6"/>
  <c r="BD64" i="6"/>
  <c r="CD66" i="6"/>
  <c r="W69" i="6"/>
  <c r="BD71" i="6"/>
  <c r="BD103" i="6"/>
  <c r="CD114" i="6"/>
  <c r="W126" i="6"/>
  <c r="Y126" i="6" s="1"/>
  <c r="AA126" i="6" s="1"/>
  <c r="AL126" i="6" s="1"/>
  <c r="BD146" i="6"/>
  <c r="BD153" i="6"/>
  <c r="W155" i="6"/>
  <c r="CD70" i="6"/>
  <c r="BD11" i="6"/>
  <c r="CD36" i="6"/>
  <c r="CD43" i="6"/>
  <c r="CD139" i="6"/>
  <c r="W61" i="6"/>
  <c r="Y61" i="6" s="1"/>
  <c r="AA61" i="6" s="1"/>
  <c r="AL61" i="6" s="1"/>
  <c r="CD35" i="6"/>
  <c r="W30" i="6"/>
  <c r="AL39" i="6"/>
  <c r="BD41" i="6"/>
  <c r="W46" i="6"/>
  <c r="BD48" i="6"/>
  <c r="CD50" i="6"/>
  <c r="CD59" i="6"/>
  <c r="AL69" i="6"/>
  <c r="BD85" i="6"/>
  <c r="CD105" i="6"/>
  <c r="W115" i="6"/>
  <c r="AL117" i="6"/>
  <c r="CD130" i="6"/>
  <c r="BD137" i="6"/>
  <c r="W142" i="6"/>
  <c r="W158" i="6"/>
  <c r="BD160" i="6"/>
  <c r="W68" i="6"/>
  <c r="AL46" i="6"/>
  <c r="W51" i="6"/>
  <c r="CD57" i="6"/>
  <c r="W60" i="6"/>
  <c r="Y60" i="6" s="1"/>
  <c r="AA60" i="6" s="1"/>
  <c r="AL60" i="6" s="1"/>
  <c r="W67" i="6"/>
  <c r="CD71" i="6"/>
  <c r="CD80" i="6"/>
  <c r="CD94" i="6"/>
  <c r="W97" i="6"/>
  <c r="CD112" i="6"/>
  <c r="AL115" i="6"/>
  <c r="BD135" i="6"/>
  <c r="AL142" i="6"/>
  <c r="CD146" i="6"/>
  <c r="AL149" i="6"/>
  <c r="AL158" i="6"/>
  <c r="CD131" i="6"/>
  <c r="W82" i="6"/>
  <c r="Y82" i="6" s="1"/>
  <c r="AA82" i="6" s="1"/>
  <c r="AL82" i="6" s="1"/>
  <c r="BD62" i="6"/>
  <c r="BD92" i="6"/>
  <c r="CD103" i="6"/>
  <c r="AL124" i="6"/>
  <c r="W140" i="6"/>
  <c r="CD86" i="6"/>
  <c r="BD152" i="6"/>
  <c r="AL68" i="6"/>
  <c r="CD150" i="6"/>
  <c r="AL30" i="6"/>
  <c r="BD35" i="6"/>
  <c r="AL143" i="6"/>
  <c r="BD82" i="6"/>
  <c r="CD18" i="6"/>
  <c r="AL21" i="6"/>
  <c r="W28" i="6"/>
  <c r="BD46" i="6"/>
  <c r="CD48" i="6"/>
  <c r="BD69" i="6"/>
  <c r="CD78" i="6"/>
  <c r="W81" i="6"/>
  <c r="Y81" i="6" s="1"/>
  <c r="AA81" i="6" s="1"/>
  <c r="AL81" i="6" s="1"/>
  <c r="BD83" i="6"/>
  <c r="W106" i="6"/>
  <c r="Y106" i="6" s="1"/>
  <c r="AA106" i="6" s="1"/>
  <c r="AL106" i="6" s="1"/>
  <c r="CD110" i="6"/>
  <c r="W113" i="6"/>
  <c r="BD142" i="6"/>
  <c r="AL156" i="6"/>
  <c r="AL159" i="6"/>
  <c r="CD65" i="6"/>
  <c r="W29" i="6"/>
  <c r="BD30" i="6"/>
  <c r="W58" i="6"/>
  <c r="Y58" i="6" s="1"/>
  <c r="AA58" i="6" s="1"/>
  <c r="AL58" i="6" s="1"/>
  <c r="CD62" i="6"/>
  <c r="W72" i="6"/>
  <c r="AL74" i="6"/>
  <c r="CD85" i="6"/>
  <c r="W88" i="6"/>
  <c r="W95" i="6"/>
  <c r="BD124" i="6"/>
  <c r="AL140" i="6"/>
  <c r="CD144" i="6"/>
  <c r="AL147" i="6"/>
  <c r="BD149" i="6"/>
  <c r="BD158" i="6"/>
  <c r="BD109" i="6"/>
  <c r="BD47" i="6"/>
  <c r="CD40" i="6"/>
  <c r="AL72" i="6"/>
  <c r="CD135" i="6"/>
  <c r="BD156" i="6"/>
  <c r="W91" i="6"/>
  <c r="BD21" i="6"/>
  <c r="AL19" i="6"/>
  <c r="CD30" i="6"/>
  <c r="W42" i="6"/>
  <c r="BD44" i="6"/>
  <c r="CD46" i="6"/>
  <c r="BD51" i="6"/>
  <c r="CD53" i="6"/>
  <c r="AL95" i="6"/>
  <c r="AL113" i="6"/>
  <c r="CD117" i="6"/>
  <c r="W120" i="6"/>
  <c r="W138" i="6"/>
  <c r="W145" i="6"/>
  <c r="AL154" i="6"/>
  <c r="W27" i="6"/>
  <c r="CD72" i="6"/>
  <c r="BD45" i="6"/>
  <c r="W70" i="6"/>
  <c r="BD72" i="6"/>
  <c r="CD99" i="6"/>
  <c r="W102" i="6"/>
  <c r="W118" i="6"/>
  <c r="W127" i="6"/>
  <c r="Y127" i="6" s="1"/>
  <c r="AA127" i="6" s="1"/>
  <c r="AL127" i="6" s="1"/>
  <c r="CD133" i="6"/>
  <c r="W136" i="6"/>
  <c r="AL138" i="6"/>
  <c r="CD149" i="6"/>
  <c r="W157" i="6"/>
  <c r="CD102" i="6"/>
  <c r="AL49" i="6"/>
  <c r="BD104" i="6"/>
  <c r="BD131" i="6"/>
  <c r="BD154" i="6"/>
  <c r="CD156" i="6"/>
  <c r="AL161" i="6"/>
  <c r="W125" i="6"/>
  <c r="Y125" i="6" s="1"/>
  <c r="AA125" i="6" s="1"/>
  <c r="AL125" i="6" s="1"/>
  <c r="BD127" i="6"/>
  <c r="AL100" i="6"/>
  <c r="W123" i="6"/>
  <c r="CD161" i="6"/>
  <c r="W59" i="6"/>
  <c r="Y59" i="6" s="1"/>
  <c r="AA59" i="6" s="1"/>
  <c r="AL59" i="6" s="1"/>
  <c r="CD118" i="6"/>
  <c r="CD17" i="6"/>
  <c r="AL164" i="6"/>
  <c r="CD27" i="6"/>
  <c r="AL42" i="6"/>
  <c r="AL26" i="6"/>
  <c r="CD37" i="6"/>
  <c r="BD65" i="6"/>
  <c r="BD12" i="6"/>
  <c r="W17" i="6"/>
  <c r="BD19" i="6"/>
  <c r="W31" i="6"/>
  <c r="Y31" i="6" s="1"/>
  <c r="AA31" i="6" s="1"/>
  <c r="AL31" i="6" s="1"/>
  <c r="BD49" i="6"/>
  <c r="CD74" i="6"/>
  <c r="BD88" i="6"/>
  <c r="AL93" i="6"/>
  <c r="AL102" i="6"/>
  <c r="BD129" i="6"/>
  <c r="AL136" i="6"/>
  <c r="AL145" i="6"/>
  <c r="W150" i="6"/>
  <c r="W159" i="6"/>
  <c r="BD163" i="6"/>
  <c r="CD83" i="6"/>
  <c r="BD16" i="6"/>
  <c r="BD75" i="6"/>
  <c r="AL92" i="6"/>
  <c r="AL23" i="6"/>
  <c r="CD142" i="6"/>
  <c r="AL11" i="6" l="1"/>
  <c r="BE11" i="6" s="1"/>
  <c r="BE32" i="6"/>
  <c r="BE61" i="6"/>
  <c r="BE107" i="6"/>
  <c r="BE67" i="6"/>
  <c r="BE98" i="6"/>
  <c r="BE25" i="6"/>
  <c r="BE120" i="6"/>
  <c r="BE56" i="6"/>
  <c r="BE148" i="6"/>
  <c r="BE155" i="6"/>
  <c r="BE82" i="6"/>
  <c r="BE84" i="6"/>
  <c r="BE29" i="6"/>
  <c r="BE22" i="6"/>
  <c r="BE110" i="6"/>
  <c r="BE27" i="6"/>
  <c r="BE149" i="6"/>
  <c r="BE55" i="6"/>
  <c r="BE114" i="6"/>
  <c r="BE77" i="6"/>
  <c r="BE35" i="6"/>
  <c r="BE68" i="6"/>
  <c r="BE160" i="6"/>
  <c r="BE122" i="6"/>
  <c r="BE117" i="6"/>
  <c r="BE44" i="6"/>
  <c r="BE38" i="6"/>
  <c r="BE100" i="6"/>
  <c r="BE39" i="6"/>
  <c r="BE20" i="6"/>
  <c r="BE75" i="6"/>
  <c r="BE144" i="6"/>
  <c r="BE93" i="6"/>
  <c r="BE52" i="6"/>
  <c r="BE78" i="6"/>
  <c r="BE73" i="6"/>
  <c r="BE162" i="6"/>
  <c r="BE164" i="6"/>
  <c r="BE157" i="6"/>
  <c r="BE108" i="6"/>
  <c r="BE13" i="6"/>
  <c r="BE151" i="6"/>
  <c r="BE90" i="6"/>
  <c r="BE40" i="6"/>
  <c r="BE165" i="6"/>
  <c r="BE26" i="6"/>
  <c r="BE42" i="6"/>
  <c r="BE79" i="6"/>
  <c r="BE129" i="6"/>
  <c r="BE139" i="6"/>
  <c r="BE123" i="6"/>
  <c r="BE87" i="6"/>
  <c r="BE70" i="6"/>
  <c r="BE140" i="6"/>
  <c r="BE17" i="6"/>
  <c r="BE37" i="6"/>
  <c r="BE97" i="6"/>
  <c r="BE91" i="6"/>
  <c r="BE104" i="6"/>
  <c r="BE161" i="6"/>
  <c r="BE121" i="6"/>
  <c r="BE92" i="6"/>
  <c r="BE43" i="6"/>
  <c r="BE30" i="6"/>
  <c r="BE66" i="6"/>
  <c r="BE48" i="6"/>
  <c r="BE136" i="6"/>
  <c r="BE81" i="6"/>
  <c r="BE69" i="6"/>
  <c r="BE18" i="6"/>
  <c r="BE154" i="6"/>
  <c r="BE23" i="6"/>
  <c r="BE115" i="6"/>
  <c r="BE46" i="6"/>
  <c r="BE116" i="6"/>
  <c r="BE50" i="6"/>
  <c r="BE145" i="6"/>
  <c r="BE60" i="6"/>
  <c r="BE130" i="6"/>
  <c r="BE28" i="6"/>
  <c r="BE147" i="6"/>
  <c r="BE49" i="6"/>
  <c r="BE146" i="6"/>
  <c r="BE99" i="6"/>
  <c r="BE31" i="6"/>
  <c r="BE119" i="6"/>
  <c r="BE152" i="6"/>
  <c r="BE89" i="6"/>
  <c r="BE118" i="6"/>
  <c r="BE141" i="6"/>
  <c r="BE150" i="6"/>
  <c r="BE143" i="6"/>
  <c r="BE125" i="6"/>
  <c r="BE51" i="6"/>
  <c r="BE58" i="6"/>
  <c r="BE101" i="6"/>
  <c r="BE153" i="6"/>
  <c r="BE64" i="6"/>
  <c r="BE132" i="6"/>
  <c r="BE112" i="6"/>
  <c r="BE47" i="6"/>
  <c r="BE45" i="6"/>
  <c r="BE33" i="6"/>
  <c r="BE134" i="6"/>
  <c r="BE106" i="6"/>
  <c r="BE124" i="6"/>
  <c r="BE113" i="6"/>
  <c r="BE12" i="6"/>
  <c r="BE128" i="6"/>
  <c r="BE95" i="6"/>
  <c r="BE137" i="6"/>
  <c r="BE24" i="6"/>
  <c r="BE111" i="6"/>
  <c r="BE163" i="6"/>
  <c r="BE103" i="6"/>
  <c r="BE105" i="6"/>
  <c r="BE159" i="6"/>
  <c r="BE102" i="6"/>
  <c r="BE54" i="6"/>
  <c r="BE86" i="6"/>
  <c r="BE21" i="6"/>
  <c r="BE41" i="6"/>
  <c r="BE14" i="6"/>
  <c r="BE63" i="6"/>
  <c r="BE138" i="6"/>
  <c r="BE57" i="6"/>
  <c r="BE15" i="6"/>
  <c r="BE59" i="6"/>
  <c r="BE76" i="6"/>
  <c r="BE135" i="6"/>
  <c r="BE131" i="6"/>
  <c r="BE109" i="6"/>
  <c r="BE80" i="6"/>
  <c r="BE126" i="6"/>
  <c r="BE83" i="6"/>
  <c r="BE71" i="6"/>
  <c r="BE34" i="6"/>
  <c r="BE94" i="6"/>
  <c r="BE96" i="6"/>
  <c r="BE53" i="6"/>
  <c r="BE127" i="6"/>
  <c r="BE74" i="6"/>
  <c r="BE65" i="6"/>
  <c r="BE19" i="6"/>
  <c r="BE133" i="6"/>
  <c r="BE62" i="6"/>
  <c r="BE88" i="6"/>
  <c r="BE16" i="6"/>
  <c r="BE36" i="6"/>
  <c r="BE142" i="6"/>
  <c r="BE85" i="6"/>
  <c r="BE156" i="6"/>
  <c r="BE158" i="6"/>
  <c r="BE72" i="6"/>
  <c r="CB9" i="6" l="1"/>
  <c r="BW9" i="6"/>
  <c r="BS9" i="6"/>
  <c r="BN9" i="6"/>
  <c r="BO9" i="6"/>
  <c r="BE9" i="6"/>
  <c r="BD9" i="6"/>
  <c r="BB9" i="6"/>
  <c r="AV9" i="6"/>
  <c r="AQ9" i="6"/>
  <c r="AL9" i="6"/>
  <c r="AJ9" i="6"/>
  <c r="AE9" i="6"/>
  <c r="AA9" i="6"/>
  <c r="W9" i="6"/>
  <c r="V9" i="6"/>
  <c r="U9" i="6"/>
  <c r="O9" i="6"/>
  <c r="N9" i="6"/>
  <c r="CD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Bendixen, Julius</author>
    <author>tc={95C2783F-A7A4-4A88-B341-6FC810F040FD}</author>
  </authors>
  <commentList>
    <comment ref="P6" authorId="0" shapeId="0" xr:uid="{07B556C5-A351-43C7-882B-5C75BC0F4FE4}">
      <text>
        <r>
          <rPr>
            <b/>
            <sz val="9"/>
            <color indexed="81"/>
            <rFont val="Segoe UI"/>
            <family val="2"/>
          </rPr>
          <t>Bendixen, Julius:</t>
        </r>
        <r>
          <rPr>
            <sz val="9"/>
            <color indexed="81"/>
            <rFont val="Segoe UI"/>
            <family val="2"/>
          </rPr>
          <t xml:space="preserve">
Hier werden entweder die Personenanzahl oder die Gegenstände, welche einen spezifischen Volumenstrom haben, wie WC, Urinal und Dusche, hinterlegt.</t>
        </r>
      </text>
    </comment>
    <comment ref="Y160" authorId="1" shapeId="0" xr:uid="{95C2783F-A7A4-4A88-B341-6FC810F040FD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Aus JF Protokoll
</t>
      </text>
    </comment>
  </commentList>
</comments>
</file>

<file path=xl/sharedStrings.xml><?xml version="1.0" encoding="utf-8"?>
<sst xmlns="http://schemas.openxmlformats.org/spreadsheetml/2006/main" count="4794" uniqueCount="484">
  <si>
    <t>ID</t>
  </si>
  <si>
    <t>xxx</t>
  </si>
  <si>
    <t>Fläche</t>
  </si>
  <si>
    <t>Volumen</t>
  </si>
  <si>
    <t>Gesamt</t>
  </si>
  <si>
    <t>m²</t>
  </si>
  <si>
    <t>Raumdaten</t>
  </si>
  <si>
    <t>W/m²</t>
  </si>
  <si>
    <t>W</t>
  </si>
  <si>
    <t>stat. Kälteversorgung</t>
  </si>
  <si>
    <t>stat. Wärmeversorgung</t>
  </si>
  <si>
    <t>ULK</t>
  </si>
  <si>
    <t>HK</t>
  </si>
  <si>
    <t>Anzahl</t>
  </si>
  <si>
    <t>Typ</t>
  </si>
  <si>
    <t>GLZ</t>
  </si>
  <si>
    <t>Stück</t>
  </si>
  <si>
    <t>kW</t>
  </si>
  <si>
    <t>m³</t>
  </si>
  <si>
    <t>Raum-Nr.</t>
  </si>
  <si>
    <t>Leistung</t>
  </si>
  <si>
    <t>Kühlleistung</t>
  </si>
  <si>
    <t>Heizleistung</t>
  </si>
  <si>
    <t>Leistung aus Kühllast-berechnung</t>
  </si>
  <si>
    <t>Kommentar KLT</t>
  </si>
  <si>
    <t>Kommentar HZG</t>
  </si>
  <si>
    <t>HZG</t>
  </si>
  <si>
    <t>KLT</t>
  </si>
  <si>
    <t>W oder W/m²</t>
  </si>
  <si>
    <t>St oder m²</t>
  </si>
  <si>
    <t>Leistung aus Heizlast-berechnung</t>
  </si>
  <si>
    <t>Schacht-zuordnung
HZG</t>
  </si>
  <si>
    <t>Summe Kühlbedarf
für Geräte 
und Anschlüsse</t>
  </si>
  <si>
    <t>Summe inst. Kühlleistung</t>
  </si>
  <si>
    <t>Gesamt Kühllast</t>
  </si>
  <si>
    <t>Leistung aus externer Kühllast-berechnung</t>
  </si>
  <si>
    <t>Nummer Raumtyp</t>
  </si>
  <si>
    <t>Bezeichnung Raumtyp</t>
  </si>
  <si>
    <t>Leistung aus externer Heizlast-berechnung</t>
  </si>
  <si>
    <t>Geschoss</t>
  </si>
  <si>
    <t>Gesamt Heizlast</t>
  </si>
  <si>
    <t>SC_Raum_Höhe</t>
  </si>
  <si>
    <t>Beheizung (3)</t>
  </si>
  <si>
    <t>Beheizung (2)</t>
  </si>
  <si>
    <t>Kühlung (3)</t>
  </si>
  <si>
    <t>Kühlung (2)</t>
  </si>
  <si>
    <t>Kühlung (1)</t>
  </si>
  <si>
    <t>Kühlbedarf für Geräte oder Anschlüsse (3)</t>
  </si>
  <si>
    <t>Kühlbedarf für Geräte oder Anschlüsse (2)</t>
  </si>
  <si>
    <t>Kühlbedarf für Geräte oder Anschlüsse (1)</t>
  </si>
  <si>
    <t>Beheizung (1)</t>
  </si>
  <si>
    <t>Teilergebnis/Summe</t>
  </si>
  <si>
    <t>Schacht-zuordnung
Kühlung</t>
  </si>
  <si>
    <t>Schacht-zuordnung
Kühlbedarf</t>
  </si>
  <si>
    <t>Kommentar Kühlung</t>
  </si>
  <si>
    <t>Kommentar Kühlbedarf</t>
  </si>
  <si>
    <t>Raum-Bezeichnung</t>
  </si>
  <si>
    <t>spez.
Kältebedarf
pro m²</t>
  </si>
  <si>
    <t>spez. 
Kältebedarf 
pro Person</t>
  </si>
  <si>
    <t>Summe
Kühlleistung
Gesamt</t>
  </si>
  <si>
    <t>spez. 
Wärmebedarf
pro m²</t>
  </si>
  <si>
    <t>zusätzliche
innere Lasten</t>
  </si>
  <si>
    <t>Summe
Heizleistung
Gesamt</t>
  </si>
  <si>
    <t>BKW_MEP_KLT_spez. Kältebedarf</t>
  </si>
  <si>
    <t>BKW_MEP_KLT_spez. Kältebedarf pro Person</t>
  </si>
  <si>
    <t>BKW_MEP_KLT_zus. innere Lasten</t>
  </si>
  <si>
    <t>BKW_MEP_KLT_Kühllastberechnung extern</t>
  </si>
  <si>
    <t>BKW_MEP_KLT_Kühllast Gesamt</t>
  </si>
  <si>
    <t>BKW_MEP_KLT_Kühlung Typ (1)</t>
  </si>
  <si>
    <t>BKW_MEP_KLT_Kühlung Leistung (1)</t>
  </si>
  <si>
    <t>BKW_MEP_KLT_Kühlung Anzahl (1)</t>
  </si>
  <si>
    <t>BKW_MEP_KLT_Kühlung Typ (2)</t>
  </si>
  <si>
    <t>BKW_MEP_KLT_Kühlung Leistung (2)</t>
  </si>
  <si>
    <t>BKW_MEP_KLT_Kühlung Anzahl (2)</t>
  </si>
  <si>
    <t>BKW_MEP_KLT_Kühlung Typ (3)</t>
  </si>
  <si>
    <t>BKW_MEP_KLT_Kühlung Leistung (3)</t>
  </si>
  <si>
    <t>BKW_MEP_KLT_Kühlung Anzahl (3)</t>
  </si>
  <si>
    <t xml:space="preserve">BKW_MEP_KLT_Kühlung Summe </t>
  </si>
  <si>
    <t>BKW_MEP_KLT_Kühlbedarf Typ (1)</t>
  </si>
  <si>
    <t>BKW_MEP_KLT_Kühlbedarf Leistung (1)</t>
  </si>
  <si>
    <t>BKW_MEP_KLT_Kühlbedarf Anzahl (1)</t>
  </si>
  <si>
    <t>BKW_MEP_KLT_Kühlbedarf GLZ (1)</t>
  </si>
  <si>
    <t>BKW_MEP_KLT_Kühlbedarf Typ (2)</t>
  </si>
  <si>
    <t>BKW_MEP_KLT_Kühlbedarf Leistung (2)</t>
  </si>
  <si>
    <t>BKW_MEP_KLT_Kühlbedarf Anzahl (2)</t>
  </si>
  <si>
    <t>BKW_MEP_KLT_Kühlbedarf GLZ (2)</t>
  </si>
  <si>
    <t>BKW_MEP_KLT_Kühlbedarf Typ (3)</t>
  </si>
  <si>
    <t>BKW_MEP_KLT_Kühlbedarf Leistung (3)</t>
  </si>
  <si>
    <t>BKW_MEP_KLT_Kühlbedarf Anzahl (3)</t>
  </si>
  <si>
    <t>BKW_MEP_KLT_Kühlbedarf GLZ (3)</t>
  </si>
  <si>
    <t>BKW_MEP_KLT_Kühlbedarf Summe</t>
  </si>
  <si>
    <t>BKW_MEP_KLT_Summe Kühlung/Kühlbedarf</t>
  </si>
  <si>
    <t>BKW_MEP_KLT_Kühlung Schachtzuordnung</t>
  </si>
  <si>
    <t>BKW_MEP_KLT_Kühlbedarf Schachtzuordnung</t>
  </si>
  <si>
    <t>BKW_MEP_KLT_Kühlung Kommentar</t>
  </si>
  <si>
    <t>BKW_MEP_KLT_Kühlbedarf Kommentar</t>
  </si>
  <si>
    <t>BKW_MEP_KLT_Kommentar</t>
  </si>
  <si>
    <t>BKW_MEP_HZG_spez. Wärmebedarf</t>
  </si>
  <si>
    <t>BKW_MEP_HZG_Heizlastberechnung extern</t>
  </si>
  <si>
    <t>BKW_MEP_HZG_Heizlast Gesamt</t>
  </si>
  <si>
    <t>BKW_MEP_HZG_Typ (1)</t>
  </si>
  <si>
    <t>BKW_MEP_HZG_Leistung (1)</t>
  </si>
  <si>
    <t>BKW_MEP_HZG_Anzahl (1)</t>
  </si>
  <si>
    <t>BKW_MEP_HZG_Typ (2)</t>
  </si>
  <si>
    <t>BKW_MEP_HZG_Leistung (2)</t>
  </si>
  <si>
    <t>BKW_MEP_HZG_Anzahl (2)</t>
  </si>
  <si>
    <t>BKW_MEP_HZG_Typ (3)</t>
  </si>
  <si>
    <t>BKW_MEP_HZG_Leistung (3)</t>
  </si>
  <si>
    <t>BKW_MEP_HZG_Anzahl (3)</t>
  </si>
  <si>
    <t>BKW_MEP_HZG_Summe</t>
  </si>
  <si>
    <t>BKW_MEP_HZG_Schachtzuordnung</t>
  </si>
  <si>
    <t>BKW_MEP_HZG_Kommentar</t>
  </si>
  <si>
    <t>zusätzliche 
Raum-Nr.(1)</t>
  </si>
  <si>
    <t>zusätzliche 
Raum-Nr.(2)</t>
  </si>
  <si>
    <t>W/Pers.</t>
  </si>
  <si>
    <t>Leistungsermittlung mit Raumtypen - KLT / HZG</t>
  </si>
  <si>
    <t>Gebäudeteil</t>
  </si>
  <si>
    <t>Anzahl der Personen/ Gegenstände</t>
  </si>
  <si>
    <t>r000001866671_00</t>
  </si>
  <si>
    <t>U1_OKRFB</t>
  </si>
  <si>
    <t/>
  </si>
  <si>
    <t>DMoU 03</t>
  </si>
  <si>
    <t>Aufzug</t>
  </si>
  <si>
    <t>r000001866672_00</t>
  </si>
  <si>
    <t>DMoU 02</t>
  </si>
  <si>
    <t>Lager</t>
  </si>
  <si>
    <t>r000001866673_00</t>
  </si>
  <si>
    <t>DU 11</t>
  </si>
  <si>
    <t>r000001866674_00</t>
  </si>
  <si>
    <t>DMwU 01</t>
  </si>
  <si>
    <t>Treppe</t>
  </si>
  <si>
    <t>r000001866675_00</t>
  </si>
  <si>
    <t>DMwU 03</t>
  </si>
  <si>
    <t>SAN Zentrale</t>
  </si>
  <si>
    <t>r000001866676_00</t>
  </si>
  <si>
    <t>DU 14</t>
  </si>
  <si>
    <t>r000001866677_00</t>
  </si>
  <si>
    <t>DU 19</t>
  </si>
  <si>
    <t>BOS Funk / BMZ</t>
  </si>
  <si>
    <t>r000001866678_00</t>
  </si>
  <si>
    <t>DU 20</t>
  </si>
  <si>
    <t>NSHV Raum AV Netz</t>
  </si>
  <si>
    <t>r000001866679_00</t>
  </si>
  <si>
    <t>DU 22</t>
  </si>
  <si>
    <t>Batterieraum</t>
  </si>
  <si>
    <t>r000001866680_00</t>
  </si>
  <si>
    <t>DU 23</t>
  </si>
  <si>
    <t>USV Raum</t>
  </si>
  <si>
    <t>r000001866681_00</t>
  </si>
  <si>
    <t>DU 25</t>
  </si>
  <si>
    <t>Fortluft</t>
  </si>
  <si>
    <t>r000001866682_00</t>
  </si>
  <si>
    <t>DMoU 04</t>
  </si>
  <si>
    <t>Datenraum Allgemein</t>
  </si>
  <si>
    <t>r000001866683_00</t>
  </si>
  <si>
    <t>DU 27</t>
  </si>
  <si>
    <t>Flur</t>
  </si>
  <si>
    <t>r000001866684_00</t>
  </si>
  <si>
    <t>DMoU 01</t>
  </si>
  <si>
    <t>r000001866685_00</t>
  </si>
  <si>
    <t>01</t>
  </si>
  <si>
    <t>Einbringöffnung</t>
  </si>
  <si>
    <t>r000001866686_00</t>
  </si>
  <si>
    <t>DU 01</t>
  </si>
  <si>
    <t>RLHK Zentrale</t>
  </si>
  <si>
    <t>r000001866727_00</t>
  </si>
  <si>
    <t>EG_OKRFB</t>
  </si>
  <si>
    <t>Mw0 03</t>
  </si>
  <si>
    <t>Installationsschacht</t>
  </si>
  <si>
    <t>r000001866728_00</t>
  </si>
  <si>
    <t>Mo0 05</t>
  </si>
  <si>
    <t>Putzraum</t>
  </si>
  <si>
    <t>r000001866729_00</t>
  </si>
  <si>
    <t>Mo0 04</t>
  </si>
  <si>
    <t>WC Frauen</t>
  </si>
  <si>
    <t>r000001866730_00</t>
  </si>
  <si>
    <t>Mw0 04</t>
  </si>
  <si>
    <t>ELT</t>
  </si>
  <si>
    <t>r000001866731_00</t>
  </si>
  <si>
    <t>D0 25</t>
  </si>
  <si>
    <t>r000001866732_00</t>
  </si>
  <si>
    <t>D0 26</t>
  </si>
  <si>
    <t>r000001866733_00</t>
  </si>
  <si>
    <t>Mo 06.1</t>
  </si>
  <si>
    <t>WC Herren</t>
  </si>
  <si>
    <t>r000001866734_00</t>
  </si>
  <si>
    <t>Mo0 06</t>
  </si>
  <si>
    <t>r000001866735_00</t>
  </si>
  <si>
    <t>Mo0 03</t>
  </si>
  <si>
    <t>r000001866736_00</t>
  </si>
  <si>
    <t>D0 24a/b</t>
  </si>
  <si>
    <t>Post / Kopieren</t>
  </si>
  <si>
    <t>r000001866737_00</t>
  </si>
  <si>
    <t>D0 14</t>
  </si>
  <si>
    <t>Allg. &amp; Gruppenleitung</t>
  </si>
  <si>
    <t>r000001866738_00</t>
  </si>
  <si>
    <t>D0 16</t>
  </si>
  <si>
    <t>Azubi</t>
  </si>
  <si>
    <t>r000001866739_00</t>
  </si>
  <si>
    <t>Mw 0 01/02</t>
  </si>
  <si>
    <t>Treppe/Flur</t>
  </si>
  <si>
    <t>r000001866740_00</t>
  </si>
  <si>
    <t>Mo0 02</t>
  </si>
  <si>
    <t>WC B</t>
  </si>
  <si>
    <t>r000001866741_00</t>
  </si>
  <si>
    <t>D0 08</t>
  </si>
  <si>
    <t>Smartfarming</t>
  </si>
  <si>
    <t>r000001866742_00</t>
  </si>
  <si>
    <t>Mo0 01</t>
  </si>
  <si>
    <t>r000001866743_00</t>
  </si>
  <si>
    <t>D0 28</t>
  </si>
  <si>
    <t>Technikum</t>
  </si>
  <si>
    <t>r000001866766_00</t>
  </si>
  <si>
    <t>OG1_OKRFB</t>
  </si>
  <si>
    <t>D1 25</t>
  </si>
  <si>
    <t>r000001866767_00</t>
  </si>
  <si>
    <t>D1 26</t>
  </si>
  <si>
    <t>r000001866768_00</t>
  </si>
  <si>
    <t>Mo1 05</t>
  </si>
  <si>
    <t>r000001866769_00</t>
  </si>
  <si>
    <t>Mo1 04</t>
  </si>
  <si>
    <t>WC Damen</t>
  </si>
  <si>
    <t>r000001866770_00</t>
  </si>
  <si>
    <t>Mo 1 06.1</t>
  </si>
  <si>
    <t>r000001866771_00</t>
  </si>
  <si>
    <t>Mo1 06</t>
  </si>
  <si>
    <t>r000001866772_00</t>
  </si>
  <si>
    <t>D1 23</t>
  </si>
  <si>
    <t>r000001866773_00</t>
  </si>
  <si>
    <t>D1 15</t>
  </si>
  <si>
    <t>Wiss. Mitarbeiter</t>
  </si>
  <si>
    <t>r000001866774_00</t>
  </si>
  <si>
    <t>D1 18</t>
  </si>
  <si>
    <t>r000001866775_00</t>
  </si>
  <si>
    <t>D1 17</t>
  </si>
  <si>
    <t>r000001866776_00</t>
  </si>
  <si>
    <t>D1 16</t>
  </si>
  <si>
    <t>r000001866777_00</t>
  </si>
  <si>
    <t>D1 14</t>
  </si>
  <si>
    <t>r000001866778_00</t>
  </si>
  <si>
    <t>Mw1 01/02</t>
  </si>
  <si>
    <t>r000001866779_00</t>
  </si>
  <si>
    <t>Mw1 04</t>
  </si>
  <si>
    <t>r000001866780_00</t>
  </si>
  <si>
    <t>Mw1 03</t>
  </si>
  <si>
    <t>r000001866781_00</t>
  </si>
  <si>
    <t>Mo1 03</t>
  </si>
  <si>
    <t>r000001866782_00</t>
  </si>
  <si>
    <t>Mo1 02</t>
  </si>
  <si>
    <t>r000001866783_00</t>
  </si>
  <si>
    <t>D1 02</t>
  </si>
  <si>
    <t>Co-Working</t>
  </si>
  <si>
    <t>r000001866784_00</t>
  </si>
  <si>
    <t>Mo1 01</t>
  </si>
  <si>
    <t>r000001866811_00</t>
  </si>
  <si>
    <t>OG2_OKRFB</t>
  </si>
  <si>
    <t>D2 25</t>
  </si>
  <si>
    <t>r000001866812_00</t>
  </si>
  <si>
    <t>D2 26</t>
  </si>
  <si>
    <t>r000001866813_00</t>
  </si>
  <si>
    <t>Mo2 05</t>
  </si>
  <si>
    <t>r000001866814_00</t>
  </si>
  <si>
    <t>Mo2 04</t>
  </si>
  <si>
    <t>r000001866815_00</t>
  </si>
  <si>
    <t>Mo2 06.1</t>
  </si>
  <si>
    <t>r000001866816_00</t>
  </si>
  <si>
    <t>Mo2 06</t>
  </si>
  <si>
    <t>r000001866817_00</t>
  </si>
  <si>
    <t>D2 23</t>
  </si>
  <si>
    <t>r000001866818_00</t>
  </si>
  <si>
    <t>D2 24</t>
  </si>
  <si>
    <t>r000001866819_00</t>
  </si>
  <si>
    <t>D2 19</t>
  </si>
  <si>
    <t>Doktorand</t>
  </si>
  <si>
    <t>r000001866820_00</t>
  </si>
  <si>
    <t>D2 17</t>
  </si>
  <si>
    <t>r000001866821_00</t>
  </si>
  <si>
    <t>D2 15</t>
  </si>
  <si>
    <t>r000001866822_00</t>
  </si>
  <si>
    <t>D2 16</t>
  </si>
  <si>
    <t>r000001866823_00</t>
  </si>
  <si>
    <t>D2 18</t>
  </si>
  <si>
    <t>r000001866824_00</t>
  </si>
  <si>
    <t>D2 21</t>
  </si>
  <si>
    <t>r000001866825_00</t>
  </si>
  <si>
    <t>D2 14</t>
  </si>
  <si>
    <t>r000001866826_00</t>
  </si>
  <si>
    <t>Mw2 04</t>
  </si>
  <si>
    <t>r000001866827_00</t>
  </si>
  <si>
    <t>Mw2 03</t>
  </si>
  <si>
    <t>r000001866828_00</t>
  </si>
  <si>
    <t>Mw2 01/02</t>
  </si>
  <si>
    <t>r000001866829_00</t>
  </si>
  <si>
    <t>MO2 03</t>
  </si>
  <si>
    <t>r000001866830_00</t>
  </si>
  <si>
    <t>D2 06</t>
  </si>
  <si>
    <t>Flexwork</t>
  </si>
  <si>
    <t>r000001866831_00</t>
  </si>
  <si>
    <t>Mo2 02</t>
  </si>
  <si>
    <t>r000001866832_00</t>
  </si>
  <si>
    <t>Mo2 01</t>
  </si>
  <si>
    <t>r000001866908_00</t>
  </si>
  <si>
    <t>OG3_OKRFB</t>
  </si>
  <si>
    <t>D3 25</t>
  </si>
  <si>
    <t>r000001866909_00</t>
  </si>
  <si>
    <t>D3 26</t>
  </si>
  <si>
    <t>r000001866910_00</t>
  </si>
  <si>
    <t>Mo3 06</t>
  </si>
  <si>
    <t>r000001866911_00</t>
  </si>
  <si>
    <t>MO3 06.1</t>
  </si>
  <si>
    <t>r000001866912_00</t>
  </si>
  <si>
    <t>Mo3 05</t>
  </si>
  <si>
    <t>r000001866913_00</t>
  </si>
  <si>
    <t>Mo3 04</t>
  </si>
  <si>
    <t>r000001866914_00</t>
  </si>
  <si>
    <t>D3 17</t>
  </si>
  <si>
    <t>r000001866915_00</t>
  </si>
  <si>
    <t>D3 15</t>
  </si>
  <si>
    <t>r000001866916_00</t>
  </si>
  <si>
    <t>D3 24</t>
  </si>
  <si>
    <t>Sekretariat</t>
  </si>
  <si>
    <t>r000001866917_00</t>
  </si>
  <si>
    <t>D3 23</t>
  </si>
  <si>
    <t>r000001866918_00</t>
  </si>
  <si>
    <t>D3 16</t>
  </si>
  <si>
    <t>r000001866919_00</t>
  </si>
  <si>
    <t>D3 18</t>
  </si>
  <si>
    <t>r000001866920_00</t>
  </si>
  <si>
    <t>D3 21</t>
  </si>
  <si>
    <t>r000001866921_00</t>
  </si>
  <si>
    <t>D3 19</t>
  </si>
  <si>
    <t>r000001866922_00</t>
  </si>
  <si>
    <t>D3 14</t>
  </si>
  <si>
    <t>r000001866923_00</t>
  </si>
  <si>
    <t>Mw3 04</t>
  </si>
  <si>
    <t>r000001866924_00</t>
  </si>
  <si>
    <t>Mw3 03</t>
  </si>
  <si>
    <t>r000001866925_00</t>
  </si>
  <si>
    <t>Mw3 01/02</t>
  </si>
  <si>
    <t>r000001866926_00</t>
  </si>
  <si>
    <t>Mo3 03</t>
  </si>
  <si>
    <t>r000001866927_00</t>
  </si>
  <si>
    <t>Mo3 02</t>
  </si>
  <si>
    <t>Diele</t>
  </si>
  <si>
    <t>r000001866928_00</t>
  </si>
  <si>
    <t>D3 06</t>
  </si>
  <si>
    <t>Entwicklungslabor</t>
  </si>
  <si>
    <t>r000001866929_00</t>
  </si>
  <si>
    <t>Mo3 01</t>
  </si>
  <si>
    <t>r000001866959_00</t>
  </si>
  <si>
    <t>OG4_OKRFB</t>
  </si>
  <si>
    <t>Mo4 02</t>
  </si>
  <si>
    <t>Putzmittel / Lager</t>
  </si>
  <si>
    <t>r000001866960_00</t>
  </si>
  <si>
    <t>MO4 03</t>
  </si>
  <si>
    <t>r000001866961_00</t>
  </si>
  <si>
    <t>MO4 05</t>
  </si>
  <si>
    <t>r000001866962_00</t>
  </si>
  <si>
    <t>Mo4 04</t>
  </si>
  <si>
    <t>r000001866963_00</t>
  </si>
  <si>
    <t>D4 01/04/10</t>
  </si>
  <si>
    <t>Social-Area/Flex-Work/Co-Work</t>
  </si>
  <si>
    <t>r000001866964_00</t>
  </si>
  <si>
    <t>Mw4 03</t>
  </si>
  <si>
    <t>r000001866965_00</t>
  </si>
  <si>
    <t>D4 14</t>
  </si>
  <si>
    <t>Wiss.Mitarbeiter</t>
  </si>
  <si>
    <t>r000001866966_00</t>
  </si>
  <si>
    <t>D4 15</t>
  </si>
  <si>
    <t>r000001866967_00</t>
  </si>
  <si>
    <t>D4 16</t>
  </si>
  <si>
    <t>r000001866968_00</t>
  </si>
  <si>
    <t>D4 17</t>
  </si>
  <si>
    <t>r000001866969_00</t>
  </si>
  <si>
    <t>D4 18</t>
  </si>
  <si>
    <t>r000001866970_00</t>
  </si>
  <si>
    <t>D4 19</t>
  </si>
  <si>
    <t>r000001866971_00</t>
  </si>
  <si>
    <t>D4 20</t>
  </si>
  <si>
    <t>r000001866972_00</t>
  </si>
  <si>
    <t>D4 21</t>
  </si>
  <si>
    <t>r000001866973_00</t>
  </si>
  <si>
    <t>D4 23</t>
  </si>
  <si>
    <t>r000001866974_00</t>
  </si>
  <si>
    <t>D4 24</t>
  </si>
  <si>
    <t>Techniker</t>
  </si>
  <si>
    <t>r000001866975_00</t>
  </si>
  <si>
    <t>Mo4 01</t>
  </si>
  <si>
    <t>r000001866976_00</t>
  </si>
  <si>
    <t>D4 25</t>
  </si>
  <si>
    <t>r000001866977_00</t>
  </si>
  <si>
    <t>D4 26</t>
  </si>
  <si>
    <t>r000001866978_00</t>
  </si>
  <si>
    <t>MO4 06.1</t>
  </si>
  <si>
    <t>r000001866979_00</t>
  </si>
  <si>
    <t>Mo4 06</t>
  </si>
  <si>
    <t>r000001866980_00</t>
  </si>
  <si>
    <t>Mw4 04</t>
  </si>
  <si>
    <t>r000001866981_00</t>
  </si>
  <si>
    <t>Mw4 01/02</t>
  </si>
  <si>
    <t>r000001867010_00</t>
  </si>
  <si>
    <t>OG5_OKRFB</t>
  </si>
  <si>
    <t>Mo5 01</t>
  </si>
  <si>
    <t>r000001867011_00</t>
  </si>
  <si>
    <t>Mw5 03</t>
  </si>
  <si>
    <t>r000001867012_00</t>
  </si>
  <si>
    <t>Mo5 03</t>
  </si>
  <si>
    <t>r000001867013_00</t>
  </si>
  <si>
    <t>Mo5 05</t>
  </si>
  <si>
    <t>r000001867014_00</t>
  </si>
  <si>
    <t>Mo5 04</t>
  </si>
  <si>
    <t>r000001867015_00</t>
  </si>
  <si>
    <t>Mo5 02</t>
  </si>
  <si>
    <t>r000001867016_00</t>
  </si>
  <si>
    <t>D5 25</t>
  </si>
  <si>
    <t>r000001867017_00</t>
  </si>
  <si>
    <t>D5 26</t>
  </si>
  <si>
    <t>r000001867018_00</t>
  </si>
  <si>
    <t>Mo5 06.1</t>
  </si>
  <si>
    <t>r000001867019_00</t>
  </si>
  <si>
    <t>Mo5 06</t>
  </si>
  <si>
    <t>r000001867020_00</t>
  </si>
  <si>
    <t>Mw5 01/02</t>
  </si>
  <si>
    <t>r000001867021_00</t>
  </si>
  <si>
    <t>D5 17</t>
  </si>
  <si>
    <t>r000001867022_00</t>
  </si>
  <si>
    <t>D5 18</t>
  </si>
  <si>
    <t>r000001867023_00</t>
  </si>
  <si>
    <t>D5 19</t>
  </si>
  <si>
    <t>r000001867024_00</t>
  </si>
  <si>
    <t>D5 20</t>
  </si>
  <si>
    <t>r000001867025_00</t>
  </si>
  <si>
    <t>D5 21</t>
  </si>
  <si>
    <t>r000001867026_00</t>
  </si>
  <si>
    <t>D5 23</t>
  </si>
  <si>
    <t>r000001867027_00</t>
  </si>
  <si>
    <t>D5 24</t>
  </si>
  <si>
    <t>r000001867028_00</t>
  </si>
  <si>
    <t>Mw5 04</t>
  </si>
  <si>
    <t>r000001867029_00</t>
  </si>
  <si>
    <t>D5 27</t>
  </si>
  <si>
    <t>r000001867030_00</t>
  </si>
  <si>
    <t>D5 10</t>
  </si>
  <si>
    <t>Seminarraum</t>
  </si>
  <si>
    <t>r000001867031_00</t>
  </si>
  <si>
    <t>D5 02</t>
  </si>
  <si>
    <t>r000001867032_00</t>
  </si>
  <si>
    <t>D5 06</t>
  </si>
  <si>
    <t>r000001867952_00</t>
  </si>
  <si>
    <t>D0 17</t>
  </si>
  <si>
    <t>Flex-Work Area</t>
  </si>
  <si>
    <t>r000001867955_00</t>
  </si>
  <si>
    <t>D0 27a/b</t>
  </si>
  <si>
    <t>r000001869374_00</t>
  </si>
  <si>
    <t>D1 19</t>
  </si>
  <si>
    <t>Co-Working Space</t>
  </si>
  <si>
    <t>r000001869377_00</t>
  </si>
  <si>
    <t>D1 27</t>
  </si>
  <si>
    <t>r000001870212_00</t>
  </si>
  <si>
    <t>D2 02</t>
  </si>
  <si>
    <t>Seminar</t>
  </si>
  <si>
    <t>r000001870215_00</t>
  </si>
  <si>
    <t>D2 07</t>
  </si>
  <si>
    <t>r000001871239_00</t>
  </si>
  <si>
    <t>D3 02</t>
  </si>
  <si>
    <t>r000001871245_00</t>
  </si>
  <si>
    <t>D3 27</t>
  </si>
  <si>
    <t>r000001871248_00</t>
  </si>
  <si>
    <t>D3 09</t>
  </si>
  <si>
    <t>Flex-Work</t>
  </si>
  <si>
    <t>r000001872430_00</t>
  </si>
  <si>
    <t>D4 07</t>
  </si>
  <si>
    <t>r000001872922_00</t>
  </si>
  <si>
    <t>D5 01a/b/c</t>
  </si>
  <si>
    <t>Post/Teeküche/Kopierer</t>
  </si>
  <si>
    <t>r000001873040_00</t>
  </si>
  <si>
    <t>DU5 14</t>
  </si>
  <si>
    <t>r000001873197_00</t>
  </si>
  <si>
    <t>D0 01</t>
  </si>
  <si>
    <t>I4.4 &amp; Robotik</t>
  </si>
  <si>
    <t>xxx4.1</t>
  </si>
  <si>
    <t>H-K-Segel</t>
  </si>
  <si>
    <t>E-Strahler</t>
  </si>
  <si>
    <t>Etagenverteiler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</si>
</sst>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#,##0.000\ &quot;m²&quot;"/>
    <numFmt numFmtId="165" formatCode="#,##0.000"/>
    <numFmt numFmtId="166" formatCode="0\ &quot;m³/h&quot;"/>
    <numFmt numFmtId="167" formatCode="0\ &quot;W/m²&quot;"/>
    <numFmt numFmtId="168" formatCode="0\ &quot;W&quot;"/>
    <numFmt numFmtId="169" formatCode="0.00\ &quot;kW&quot;"/>
    <numFmt numFmtId="170" formatCode="#,##0\ &quot;St.&quot;"/>
    <numFmt numFmtId="171" formatCode="#,##0\ &quot;m²&quot;"/>
    <numFmt numFmtId="172" formatCode="#,##0\ &quot;m³&quot;"/>
    <numFmt numFmtId="173" formatCode="#,##0.00_ ;\-#,##0.00\ "/>
    <numFmt numFmtId="174" formatCode="#,##0_ ;\-#,##0\ "/>
    <numFmt numFmtId="175" formatCode="0_ ;\-0\ "/>
    <numFmt numFmtId="176" formatCode="0.00_ ;\-0.00\ "/>
  </numFmts>
  <fonts count="16">
    <font>
      <sz val="10"/>
      <name val="Arial"/>
    </font>
    <font>
      <sz val="10"/>
      <name val="RotisSansSerif Light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10"/>
      <name val="Klint Pro"/>
      <family val="2"/>
    </font>
    <font>
      <b/>
      <sz val="9"/>
      <color rgb="FFFF0000"/>
      <name val="Klint Pro"/>
      <family val="2"/>
    </font>
    <font>
      <sz val="9"/>
      <name val="Klint Pro"/>
      <family val="2"/>
    </font>
    <font>
      <sz val="8"/>
      <name val="Klint Pro"/>
      <family val="2"/>
    </font>
    <font>
      <b/>
      <sz val="10"/>
      <name val="Klint Pro"/>
      <family val="2"/>
    </font>
    <font>
      <sz val="6"/>
      <name val="Klint Pro"/>
      <family val="2"/>
    </font>
    <font>
      <sz val="10"/>
      <name val="Klint Pro"/>
      <family val="2"/>
    </font>
    <font>
      <b/>
      <sz val="8"/>
      <name val="Klint Pro"/>
      <family val="2"/>
    </font>
    <font>
      <b/>
      <sz val="9"/>
      <name val="Klint Pro"/>
      <family val="2"/>
    </font>
    <font>
      <sz val="9"/>
      <color indexed="10"/>
      <name val="Klint Pro"/>
      <family val="2"/>
    </font>
    <font>
      <b/>
      <sz val="8"/>
      <color theme="9" tint="-0.249977111117893"/>
      <name val="Klint Pro"/>
      <family val="2"/>
    </font>
    <font>
      <sz val="8"/>
      <color theme="9" tint="-0.249977111117893"/>
      <name val="Klint Pro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5CFE8"/>
        <bgColor indexed="27"/>
      </patternFill>
    </fill>
  </fills>
  <borders count="7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 style="hair">
        <color indexed="8"/>
      </left>
      <right/>
      <top style="medium">
        <color indexed="64"/>
      </top>
      <bottom style="hair">
        <color indexed="8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8"/>
      </left>
      <right/>
      <top style="medium">
        <color indexed="64"/>
      </top>
      <bottom style="hair">
        <color indexed="8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hair">
        <color indexed="8"/>
      </bottom>
      <diagonal/>
    </border>
    <border>
      <left/>
      <right style="thin">
        <color indexed="64"/>
      </right>
      <top style="medium">
        <color indexed="64"/>
      </top>
      <bottom style="hair">
        <color indexed="8"/>
      </bottom>
      <diagonal/>
    </border>
    <border>
      <left style="thin">
        <color indexed="64"/>
      </left>
      <right/>
      <top style="medium">
        <color indexed="64"/>
      </top>
      <bottom style="hair">
        <color indexed="8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8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8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8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8"/>
      </bottom>
      <diagonal/>
    </border>
    <border>
      <left/>
      <right/>
      <top style="hair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8"/>
      </bottom>
      <diagonal/>
    </border>
    <border>
      <left style="hair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/>
      <top style="hair">
        <color indexed="8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/>
      <right style="thin">
        <color indexed="64"/>
      </right>
      <top style="hair">
        <color indexed="8"/>
      </top>
      <bottom style="medium">
        <color indexed="64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8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8"/>
      </bottom>
      <diagonal/>
    </border>
  </borders>
  <cellStyleXfs count="2">
    <xf numFmtId="0" fontId="0" fillId="0" borderId="0"/>
    <xf numFmtId="0" fontId="1" fillId="0" borderId="0"/>
  </cellStyleXfs>
  <cellXfs count="202">
    <xf numFmtId="0" fontId="0" fillId="0" borderId="0" xfId="0"/>
    <xf numFmtId="0" fontId="4" fillId="0" borderId="0" xfId="0" applyFont="1" applyAlignment="1" applyProtection="1">
      <alignment horizontal="center" textRotation="90"/>
      <protection locked="0"/>
    </xf>
    <xf numFmtId="166" fontId="4" fillId="0" borderId="0" xfId="0" applyNumberFormat="1" applyFont="1" applyAlignment="1" applyProtection="1">
      <alignment horizontal="center" textRotation="90"/>
      <protection locked="0"/>
    </xf>
    <xf numFmtId="0" fontId="5" fillId="0" borderId="0" xfId="0" applyFont="1" applyAlignment="1" applyProtection="1">
      <alignment horizontal="center" textRotation="90"/>
      <protection locked="0"/>
    </xf>
    <xf numFmtId="167" fontId="4" fillId="0" borderId="0" xfId="0" applyNumberFormat="1" applyFont="1" applyAlignment="1" applyProtection="1">
      <alignment horizontal="center" textRotation="90"/>
      <protection locked="0"/>
    </xf>
    <xf numFmtId="49" fontId="4" fillId="0" borderId="0" xfId="0" applyNumberFormat="1" applyFont="1" applyAlignment="1" applyProtection="1">
      <alignment horizontal="center" textRotation="90"/>
      <protection locked="0"/>
    </xf>
    <xf numFmtId="169" fontId="4" fillId="0" borderId="0" xfId="0" applyNumberFormat="1" applyFont="1" applyAlignment="1" applyProtection="1">
      <alignment horizontal="center" textRotation="90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49" fontId="6" fillId="0" borderId="0" xfId="0" applyNumberFormat="1" applyFont="1" applyProtection="1">
      <protection locked="0"/>
    </xf>
    <xf numFmtId="169" fontId="6" fillId="0" borderId="0" xfId="0" applyNumberFormat="1" applyFont="1" applyProtection="1">
      <protection locked="0"/>
    </xf>
    <xf numFmtId="0" fontId="6" fillId="0" borderId="0" xfId="0" applyFont="1"/>
    <xf numFmtId="49" fontId="7" fillId="0" borderId="0" xfId="0" applyNumberFormat="1" applyFont="1" applyAlignment="1" applyProtection="1">
      <alignment horizontal="left"/>
      <protection locked="0"/>
    </xf>
    <xf numFmtId="49" fontId="7" fillId="0" borderId="6" xfId="0" applyNumberFormat="1" applyFont="1" applyBorder="1" applyAlignment="1" applyProtection="1">
      <alignment horizontal="left"/>
      <protection locked="0"/>
    </xf>
    <xf numFmtId="3" fontId="7" fillId="0" borderId="0" xfId="1" applyNumberFormat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3" fontId="7" fillId="0" borderId="0" xfId="1" applyNumberFormat="1" applyFont="1" applyProtection="1">
      <protection locked="0"/>
    </xf>
    <xf numFmtId="3" fontId="7" fillId="0" borderId="0" xfId="1" applyNumberFormat="1" applyFont="1" applyAlignment="1" applyProtection="1">
      <alignment horizontal="center"/>
      <protection locked="0"/>
    </xf>
    <xf numFmtId="3" fontId="9" fillId="0" borderId="0" xfId="1" applyNumberFormat="1" applyFont="1" applyAlignment="1" applyProtection="1">
      <alignment horizontal="center"/>
      <protection locked="0"/>
    </xf>
    <xf numFmtId="49" fontId="6" fillId="0" borderId="0" xfId="0" applyNumberFormat="1" applyFont="1" applyAlignment="1">
      <alignment horizontal="left"/>
    </xf>
    <xf numFmtId="3" fontId="8" fillId="8" borderId="5" xfId="1" applyNumberFormat="1" applyFont="1" applyFill="1" applyBorder="1" applyAlignment="1">
      <alignment vertical="center" wrapText="1"/>
    </xf>
    <xf numFmtId="3" fontId="8" fillId="8" borderId="3" xfId="1" applyNumberFormat="1" applyFont="1" applyFill="1" applyBorder="1" applyAlignment="1">
      <alignment vertical="center" wrapText="1"/>
    </xf>
    <xf numFmtId="3" fontId="8" fillId="8" borderId="76" xfId="1" applyNumberFormat="1" applyFont="1" applyFill="1" applyBorder="1" applyAlignment="1">
      <alignment vertical="center" wrapText="1"/>
    </xf>
    <xf numFmtId="3" fontId="7" fillId="2" borderId="37" xfId="1" applyNumberFormat="1" applyFont="1" applyFill="1" applyBorder="1" applyAlignment="1">
      <alignment horizontal="center" wrapText="1"/>
    </xf>
    <xf numFmtId="3" fontId="7" fillId="2" borderId="38" xfId="1" applyNumberFormat="1" applyFont="1" applyFill="1" applyBorder="1" applyAlignment="1">
      <alignment horizontal="center"/>
    </xf>
    <xf numFmtId="3" fontId="7" fillId="2" borderId="38" xfId="1" applyNumberFormat="1" applyFont="1" applyFill="1" applyBorder="1" applyAlignment="1">
      <alignment horizontal="center" wrapText="1"/>
    </xf>
    <xf numFmtId="49" fontId="7" fillId="2" borderId="38" xfId="1" applyNumberFormat="1" applyFont="1" applyFill="1" applyBorder="1" applyAlignment="1">
      <alignment horizontal="center" wrapText="1"/>
    </xf>
    <xf numFmtId="49" fontId="7" fillId="2" borderId="7" xfId="1" applyNumberFormat="1" applyFont="1" applyFill="1" applyBorder="1" applyAlignment="1">
      <alignment horizontal="center" wrapText="1"/>
    </xf>
    <xf numFmtId="3" fontId="7" fillId="2" borderId="77" xfId="1" applyNumberFormat="1" applyFont="1" applyFill="1" applyBorder="1" applyAlignment="1">
      <alignment horizontal="center" wrapText="1"/>
    </xf>
    <xf numFmtId="3" fontId="7" fillId="2" borderId="50" xfId="1" applyNumberFormat="1" applyFont="1" applyFill="1" applyBorder="1" applyAlignment="1">
      <alignment horizontal="center" wrapText="1"/>
    </xf>
    <xf numFmtId="3" fontId="7" fillId="2" borderId="7" xfId="1" applyNumberFormat="1" applyFont="1" applyFill="1" applyBorder="1" applyAlignment="1">
      <alignment horizontal="center" wrapText="1"/>
    </xf>
    <xf numFmtId="3" fontId="11" fillId="2" borderId="7" xfId="1" applyNumberFormat="1" applyFont="1" applyFill="1" applyBorder="1" applyAlignment="1">
      <alignment horizontal="center" wrapText="1"/>
    </xf>
    <xf numFmtId="3" fontId="7" fillId="2" borderId="27" xfId="1" applyNumberFormat="1" applyFont="1" applyFill="1" applyBorder="1" applyAlignment="1">
      <alignment wrapText="1"/>
    </xf>
    <xf numFmtId="3" fontId="7" fillId="2" borderId="21" xfId="1" applyNumberFormat="1" applyFont="1" applyFill="1" applyBorder="1" applyAlignment="1">
      <alignment wrapText="1"/>
    </xf>
    <xf numFmtId="3" fontId="11" fillId="2" borderId="24" xfId="1" applyNumberFormat="1" applyFont="1" applyFill="1" applyBorder="1" applyAlignment="1">
      <alignment horizontal="center" wrapText="1"/>
    </xf>
    <xf numFmtId="3" fontId="7" fillId="2" borderId="47" xfId="1" applyNumberFormat="1" applyFont="1" applyFill="1" applyBorder="1" applyAlignment="1">
      <alignment horizontal="center" wrapText="1"/>
    </xf>
    <xf numFmtId="3" fontId="7" fillId="2" borderId="45" xfId="1" applyNumberFormat="1" applyFont="1" applyFill="1" applyBorder="1" applyAlignment="1">
      <alignment horizontal="center" wrapText="1"/>
    </xf>
    <xf numFmtId="3" fontId="7" fillId="2" borderId="8" xfId="1" applyNumberFormat="1" applyFont="1" applyFill="1" applyBorder="1" applyAlignment="1">
      <alignment horizontal="center" wrapText="1"/>
    </xf>
    <xf numFmtId="3" fontId="7" fillId="2" borderId="71" xfId="1" applyNumberFormat="1" applyFont="1" applyFill="1" applyBorder="1" applyAlignment="1">
      <alignment horizontal="center" wrapText="1"/>
    </xf>
    <xf numFmtId="3" fontId="7" fillId="2" borderId="18" xfId="1" applyNumberFormat="1" applyFont="1" applyFill="1" applyBorder="1" applyAlignment="1">
      <alignment horizontal="center" wrapText="1"/>
    </xf>
    <xf numFmtId="3" fontId="7" fillId="2" borderId="58" xfId="1" applyNumberFormat="1" applyFont="1" applyFill="1" applyBorder="1" applyAlignment="1">
      <alignment horizontal="center" wrapText="1"/>
    </xf>
    <xf numFmtId="3" fontId="7" fillId="2" borderId="43" xfId="1" applyNumberFormat="1" applyFont="1" applyFill="1" applyBorder="1" applyAlignment="1">
      <alignment horizontal="center" wrapText="1"/>
    </xf>
    <xf numFmtId="0" fontId="7" fillId="2" borderId="39" xfId="1" applyFont="1" applyFill="1" applyBorder="1" applyAlignment="1">
      <alignment horizontal="left" vertical="center"/>
    </xf>
    <xf numFmtId="0" fontId="7" fillId="2" borderId="34" xfId="1" applyFont="1" applyFill="1" applyBorder="1" applyAlignment="1">
      <alignment horizontal="left" vertical="center"/>
    </xf>
    <xf numFmtId="49" fontId="7" fillId="2" borderId="34" xfId="1" applyNumberFormat="1" applyFont="1" applyFill="1" applyBorder="1" applyAlignment="1">
      <alignment horizontal="center" vertical="center"/>
    </xf>
    <xf numFmtId="0" fontId="7" fillId="2" borderId="34" xfId="1" applyFont="1" applyFill="1" applyBorder="1" applyAlignment="1">
      <alignment vertical="center"/>
    </xf>
    <xf numFmtId="49" fontId="7" fillId="2" borderId="35" xfId="1" applyNumberFormat="1" applyFont="1" applyFill="1" applyBorder="1" applyAlignment="1">
      <alignment horizontal="center" vertical="center"/>
    </xf>
    <xf numFmtId="0" fontId="7" fillId="2" borderId="34" xfId="1" applyFont="1" applyFill="1" applyBorder="1" applyAlignment="1">
      <alignment horizontal="right" vertical="center"/>
    </xf>
    <xf numFmtId="3" fontId="7" fillId="2" borderId="17" xfId="1" applyNumberFormat="1" applyFont="1" applyFill="1" applyBorder="1" applyAlignment="1">
      <alignment horizontal="center" vertical="center"/>
    </xf>
    <xf numFmtId="3" fontId="7" fillId="2" borderId="51" xfId="1" applyNumberFormat="1" applyFont="1" applyFill="1" applyBorder="1" applyAlignment="1">
      <alignment horizontal="right" vertical="center"/>
    </xf>
    <xf numFmtId="3" fontId="7" fillId="2" borderId="35" xfId="1" applyNumberFormat="1" applyFont="1" applyFill="1" applyBorder="1" applyAlignment="1">
      <alignment horizontal="right" vertical="center"/>
    </xf>
    <xf numFmtId="3" fontId="7" fillId="2" borderId="34" xfId="1" applyNumberFormat="1" applyFont="1" applyFill="1" applyBorder="1" applyAlignment="1">
      <alignment horizontal="right" vertical="center"/>
    </xf>
    <xf numFmtId="3" fontId="7" fillId="2" borderId="23" xfId="1" applyNumberFormat="1" applyFont="1" applyFill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/>
    </xf>
    <xf numFmtId="3" fontId="7" fillId="2" borderId="30" xfId="1" applyNumberFormat="1" applyFont="1" applyFill="1" applyBorder="1" applyAlignment="1">
      <alignment horizontal="center" vertical="center"/>
    </xf>
    <xf numFmtId="3" fontId="7" fillId="2" borderId="26" xfId="1" applyNumberFormat="1" applyFont="1" applyFill="1" applyBorder="1" applyAlignment="1">
      <alignment vertical="center"/>
    </xf>
    <xf numFmtId="3" fontId="7" fillId="2" borderId="60" xfId="1" applyNumberFormat="1" applyFont="1" applyFill="1" applyBorder="1" applyAlignment="1">
      <alignment horizontal="center" vertical="center"/>
    </xf>
    <xf numFmtId="3" fontId="7" fillId="2" borderId="61" xfId="1" applyNumberFormat="1" applyFont="1" applyFill="1" applyBorder="1" applyAlignment="1">
      <alignment horizontal="center" vertical="center"/>
    </xf>
    <xf numFmtId="3" fontId="7" fillId="2" borderId="35" xfId="1" applyNumberFormat="1" applyFont="1" applyFill="1" applyBorder="1" applyAlignment="1">
      <alignment horizontal="center" vertical="center"/>
    </xf>
    <xf numFmtId="3" fontId="7" fillId="2" borderId="62" xfId="1" applyNumberFormat="1" applyFont="1" applyFill="1" applyBorder="1" applyAlignment="1">
      <alignment vertical="center"/>
    </xf>
    <xf numFmtId="3" fontId="11" fillId="2" borderId="36" xfId="1" applyNumberFormat="1" applyFont="1" applyFill="1" applyBorder="1" applyAlignment="1">
      <alignment horizontal="center" vertical="center"/>
    </xf>
    <xf numFmtId="3" fontId="11" fillId="2" borderId="23" xfId="1" applyNumberFormat="1" applyFont="1" applyFill="1" applyBorder="1" applyAlignment="1">
      <alignment horizontal="center" vertical="center"/>
    </xf>
    <xf numFmtId="3" fontId="11" fillId="2" borderId="30" xfId="1" applyNumberFormat="1" applyFont="1" applyFill="1" applyBorder="1" applyAlignment="1">
      <alignment horizontal="center" vertical="center"/>
    </xf>
    <xf numFmtId="3" fontId="11" fillId="2" borderId="1" xfId="1" applyNumberFormat="1" applyFont="1" applyFill="1" applyBorder="1" applyAlignment="1">
      <alignment horizontal="center" vertical="center"/>
    </xf>
    <xf numFmtId="3" fontId="11" fillId="2" borderId="72" xfId="1" applyNumberFormat="1" applyFont="1" applyFill="1" applyBorder="1" applyAlignment="1">
      <alignment horizontal="center" vertical="center"/>
    </xf>
    <xf numFmtId="3" fontId="7" fillId="2" borderId="33" xfId="1" applyNumberFormat="1" applyFont="1" applyFill="1" applyBorder="1" applyAlignment="1">
      <alignment horizontal="right" vertical="center"/>
    </xf>
    <xf numFmtId="3" fontId="11" fillId="2" borderId="35" xfId="1" applyNumberFormat="1" applyFont="1" applyFill="1" applyBorder="1" applyAlignment="1">
      <alignment horizontal="right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30" xfId="1" applyNumberFormat="1" applyFont="1" applyFill="1" applyBorder="1" applyAlignment="1">
      <alignment horizontal="center" vertical="center" wrapText="1"/>
    </xf>
    <xf numFmtId="3" fontId="7" fillId="2" borderId="17" xfId="1" applyNumberFormat="1" applyFont="1" applyFill="1" applyBorder="1" applyAlignment="1">
      <alignment horizontal="center" vertical="center" wrapText="1"/>
    </xf>
    <xf numFmtId="3" fontId="7" fillId="2" borderId="26" xfId="1" applyNumberFormat="1" applyFont="1" applyFill="1" applyBorder="1" applyAlignment="1">
      <alignment vertical="center" wrapText="1"/>
    </xf>
    <xf numFmtId="3" fontId="11" fillId="2" borderId="31" xfId="1" applyNumberFormat="1" applyFont="1" applyFill="1" applyBorder="1" applyAlignment="1">
      <alignment horizontal="center" vertical="center"/>
    </xf>
    <xf numFmtId="3" fontId="11" fillId="2" borderId="32" xfId="1" applyNumberFormat="1" applyFont="1" applyFill="1" applyBorder="1" applyAlignment="1">
      <alignment horizontal="center" vertical="center"/>
    </xf>
    <xf numFmtId="0" fontId="7" fillId="2" borderId="40" xfId="1" applyFont="1" applyFill="1" applyBorder="1" applyAlignment="1">
      <alignment horizontal="center" vertical="center"/>
    </xf>
    <xf numFmtId="0" fontId="7" fillId="2" borderId="41" xfId="1" applyFont="1" applyFill="1" applyBorder="1" applyAlignment="1">
      <alignment horizontal="center" vertical="center"/>
    </xf>
    <xf numFmtId="0" fontId="7" fillId="2" borderId="61" xfId="1" applyFont="1" applyFill="1" applyBorder="1" applyAlignment="1">
      <alignment horizontal="center" vertical="center"/>
    </xf>
    <xf numFmtId="49" fontId="7" fillId="2" borderId="41" xfId="1" applyNumberFormat="1" applyFont="1" applyFill="1" applyBorder="1" applyAlignment="1">
      <alignment horizontal="center" vertical="center"/>
    </xf>
    <xf numFmtId="49" fontId="7" fillId="2" borderId="53" xfId="1" applyNumberFormat="1" applyFont="1" applyFill="1" applyBorder="1" applyAlignment="1">
      <alignment horizontal="center" vertical="center"/>
    </xf>
    <xf numFmtId="3" fontId="7" fillId="2" borderId="78" xfId="1" applyNumberFormat="1" applyFont="1" applyFill="1" applyBorder="1" applyAlignment="1">
      <alignment horizontal="center" vertical="center"/>
    </xf>
    <xf numFmtId="3" fontId="7" fillId="2" borderId="52" xfId="1" applyNumberFormat="1" applyFont="1" applyFill="1" applyBorder="1" applyAlignment="1">
      <alignment horizontal="center" vertical="center"/>
    </xf>
    <xf numFmtId="3" fontId="7" fillId="2" borderId="53" xfId="1" applyNumberFormat="1" applyFont="1" applyFill="1" applyBorder="1" applyAlignment="1">
      <alignment horizontal="center" vertical="center"/>
    </xf>
    <xf numFmtId="3" fontId="7" fillId="2" borderId="41" xfId="1" applyNumberFormat="1" applyFont="1" applyFill="1" applyBorder="1" applyAlignment="1">
      <alignment horizontal="center" vertical="center"/>
    </xf>
    <xf numFmtId="3" fontId="11" fillId="2" borderId="53" xfId="1" applyNumberFormat="1" applyFont="1" applyFill="1" applyBorder="1" applyAlignment="1">
      <alignment horizontal="center" vertical="center"/>
    </xf>
    <xf numFmtId="3" fontId="11" fillId="2" borderId="55" xfId="1" applyNumberFormat="1" applyFont="1" applyFill="1" applyBorder="1" applyAlignment="1">
      <alignment horizontal="center" vertical="center"/>
    </xf>
    <xf numFmtId="3" fontId="7" fillId="2" borderId="56" xfId="1" applyNumberFormat="1" applyFont="1" applyFill="1" applyBorder="1" applyAlignment="1">
      <alignment horizontal="center" vertical="center"/>
    </xf>
    <xf numFmtId="3" fontId="7" fillId="2" borderId="57" xfId="1" applyNumberFormat="1" applyFont="1" applyFill="1" applyBorder="1" applyAlignment="1">
      <alignment horizontal="center" vertical="center"/>
    </xf>
    <xf numFmtId="3" fontId="7" fillId="2" borderId="67" xfId="1" applyNumberFormat="1" applyFont="1" applyFill="1" applyBorder="1" applyAlignment="1">
      <alignment horizontal="center" vertical="center"/>
    </xf>
    <xf numFmtId="3" fontId="7" fillId="2" borderId="66" xfId="1" applyNumberFormat="1" applyFont="1" applyFill="1" applyBorder="1" applyAlignment="1">
      <alignment vertical="center"/>
    </xf>
    <xf numFmtId="3" fontId="11" fillId="2" borderId="63" xfId="1" applyNumberFormat="1" applyFont="1" applyFill="1" applyBorder="1" applyAlignment="1">
      <alignment horizontal="center" vertical="center"/>
    </xf>
    <xf numFmtId="3" fontId="7" fillId="2" borderId="54" xfId="1" applyNumberFormat="1" applyFont="1" applyFill="1" applyBorder="1" applyAlignment="1">
      <alignment horizontal="center" vertical="center"/>
    </xf>
    <xf numFmtId="3" fontId="7" fillId="2" borderId="64" xfId="1" applyNumberFormat="1" applyFont="1" applyFill="1" applyBorder="1" applyAlignment="1">
      <alignment vertical="center"/>
    </xf>
    <xf numFmtId="3" fontId="11" fillId="2" borderId="49" xfId="1" applyNumberFormat="1" applyFont="1" applyFill="1" applyBorder="1" applyAlignment="1">
      <alignment horizontal="center" vertical="center"/>
    </xf>
    <xf numFmtId="3" fontId="9" fillId="2" borderId="55" xfId="1" applyNumberFormat="1" applyFont="1" applyFill="1" applyBorder="1" applyAlignment="1">
      <alignment horizontal="center" vertical="center"/>
    </xf>
    <xf numFmtId="3" fontId="11" fillId="2" borderId="48" xfId="1" applyNumberFormat="1" applyFont="1" applyFill="1" applyBorder="1" applyAlignment="1">
      <alignment horizontal="center" vertical="center"/>
    </xf>
    <xf numFmtId="3" fontId="11" fillId="2" borderId="46" xfId="1" applyNumberFormat="1" applyFont="1" applyFill="1" applyBorder="1" applyAlignment="1">
      <alignment horizontal="center" vertical="center"/>
    </xf>
    <xf numFmtId="3" fontId="11" fillId="2" borderId="42" xfId="1" applyNumberFormat="1" applyFont="1" applyFill="1" applyBorder="1" applyAlignment="1">
      <alignment horizontal="center" vertical="center"/>
    </xf>
    <xf numFmtId="3" fontId="11" fillId="2" borderId="73" xfId="1" applyNumberFormat="1" applyFont="1" applyFill="1" applyBorder="1" applyAlignment="1">
      <alignment horizontal="center" vertical="center"/>
    </xf>
    <xf numFmtId="3" fontId="7" fillId="2" borderId="65" xfId="1" applyNumberFormat="1" applyFont="1" applyFill="1" applyBorder="1" applyAlignment="1">
      <alignment horizontal="center" vertical="center"/>
    </xf>
    <xf numFmtId="3" fontId="7" fillId="2" borderId="55" xfId="1" applyNumberFormat="1" applyFont="1" applyFill="1" applyBorder="1" applyAlignment="1">
      <alignment horizontal="center" vertical="center"/>
    </xf>
    <xf numFmtId="3" fontId="11" fillId="2" borderId="59" xfId="1" applyNumberFormat="1" applyFont="1" applyFill="1" applyBorder="1" applyAlignment="1">
      <alignment horizontal="center" vertical="center"/>
    </xf>
    <xf numFmtId="3" fontId="11" fillId="2" borderId="44" xfId="1" applyNumberFormat="1" applyFont="1" applyFill="1" applyBorder="1" applyAlignment="1">
      <alignment horizontal="center" vertical="center"/>
    </xf>
    <xf numFmtId="0" fontId="12" fillId="3" borderId="6" xfId="1" applyFont="1" applyFill="1" applyBorder="1" applyAlignment="1">
      <alignment horizontal="left" vertical="center"/>
    </xf>
    <xf numFmtId="0" fontId="7" fillId="3" borderId="0" xfId="1" applyFont="1" applyFill="1" applyAlignment="1">
      <alignment horizontal="center" vertical="center"/>
    </xf>
    <xf numFmtId="0" fontId="12" fillId="3" borderId="3" xfId="1" applyFont="1" applyFill="1" applyBorder="1" applyAlignment="1">
      <alignment horizontal="center" vertical="center"/>
    </xf>
    <xf numFmtId="49" fontId="7" fillId="3" borderId="0" xfId="1" applyNumberFormat="1" applyFont="1" applyFill="1" applyAlignment="1">
      <alignment horizontal="center" vertical="center"/>
    </xf>
    <xf numFmtId="3" fontId="12" fillId="3" borderId="0" xfId="1" applyNumberFormat="1" applyFont="1" applyFill="1" applyAlignment="1">
      <alignment horizontal="center" vertical="center"/>
    </xf>
    <xf numFmtId="3" fontId="7" fillId="3" borderId="0" xfId="1" applyNumberFormat="1" applyFont="1" applyFill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3" fontId="7" fillId="3" borderId="9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3" fontId="11" fillId="3" borderId="9" xfId="1" applyNumberFormat="1" applyFont="1" applyFill="1" applyBorder="1" applyAlignment="1">
      <alignment horizontal="center" vertical="center"/>
    </xf>
    <xf numFmtId="3" fontId="7" fillId="3" borderId="3" xfId="1" applyNumberFormat="1" applyFont="1" applyFill="1" applyBorder="1" applyAlignment="1">
      <alignment horizontal="center" vertical="center"/>
    </xf>
    <xf numFmtId="3" fontId="9" fillId="3" borderId="9" xfId="1" applyNumberFormat="1" applyFont="1" applyFill="1" applyBorder="1" applyAlignment="1">
      <alignment horizontal="center" vertical="center"/>
    </xf>
    <xf numFmtId="3" fontId="8" fillId="3" borderId="0" xfId="1" applyNumberFormat="1" applyFont="1" applyFill="1" applyAlignment="1">
      <alignment horizontal="center" vertical="center" textRotation="90" wrapText="1"/>
    </xf>
    <xf numFmtId="3" fontId="12" fillId="3" borderId="3" xfId="1" applyNumberFormat="1" applyFont="1" applyFill="1" applyBorder="1" applyAlignment="1">
      <alignment horizontal="center" vertical="center"/>
    </xf>
    <xf numFmtId="49" fontId="6" fillId="3" borderId="0" xfId="0" applyNumberFormat="1" applyFont="1" applyFill="1" applyAlignment="1" applyProtection="1">
      <alignment horizontal="left"/>
      <protection locked="0"/>
    </xf>
    <xf numFmtId="49" fontId="6" fillId="3" borderId="70" xfId="0" applyNumberFormat="1" applyFont="1" applyFill="1" applyBorder="1" applyAlignment="1" applyProtection="1">
      <alignment horizontal="left"/>
      <protection locked="0"/>
    </xf>
    <xf numFmtId="49" fontId="7" fillId="7" borderId="14" xfId="0" applyNumberFormat="1" applyFont="1" applyFill="1" applyBorder="1" applyAlignment="1" applyProtection="1">
      <alignment horizontal="left"/>
      <protection locked="0"/>
    </xf>
    <xf numFmtId="49" fontId="7" fillId="7" borderId="15" xfId="0" applyNumberFormat="1" applyFont="1" applyFill="1" applyBorder="1" applyAlignment="1" applyProtection="1">
      <alignment horizontal="left"/>
      <protection locked="0"/>
    </xf>
    <xf numFmtId="49" fontId="7" fillId="7" borderId="9" xfId="0" applyNumberFormat="1" applyFont="1" applyFill="1" applyBorder="1" applyAlignment="1" applyProtection="1">
      <alignment horizontal="left"/>
      <protection locked="0"/>
    </xf>
    <xf numFmtId="49" fontId="6" fillId="7" borderId="15" xfId="0" applyNumberFormat="1" applyFont="1" applyFill="1" applyBorder="1" applyAlignment="1" applyProtection="1">
      <alignment horizontal="left"/>
      <protection locked="0"/>
    </xf>
    <xf numFmtId="49" fontId="6" fillId="7" borderId="9" xfId="0" applyNumberFormat="1" applyFont="1" applyFill="1" applyBorder="1" applyAlignment="1" applyProtection="1">
      <alignment horizontal="left"/>
      <protection locked="0"/>
    </xf>
    <xf numFmtId="49" fontId="6" fillId="7" borderId="16" xfId="0" applyNumberFormat="1" applyFont="1" applyFill="1" applyBorder="1" applyAlignment="1" applyProtection="1">
      <alignment horizontal="left"/>
      <protection locked="0"/>
    </xf>
    <xf numFmtId="49" fontId="6" fillId="6" borderId="0" xfId="0" applyNumberFormat="1" applyFont="1" applyFill="1" applyAlignment="1" applyProtection="1">
      <alignment horizontal="left"/>
      <protection locked="0"/>
    </xf>
    <xf numFmtId="0" fontId="6" fillId="6" borderId="0" xfId="0" applyFont="1" applyFill="1" applyProtection="1">
      <protection locked="0"/>
    </xf>
    <xf numFmtId="0" fontId="6" fillId="6" borderId="0" xfId="0" applyFont="1" applyFill="1"/>
    <xf numFmtId="49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65" fontId="7" fillId="0" borderId="0" xfId="0" applyNumberFormat="1" applyFont="1" applyAlignment="1" applyProtection="1">
      <alignment horizontal="right" vertical="center"/>
      <protection locked="0"/>
    </xf>
    <xf numFmtId="49" fontId="7" fillId="2" borderId="28" xfId="0" applyNumberFormat="1" applyFont="1" applyFill="1" applyBorder="1" applyAlignment="1">
      <alignment horizontal="center" vertical="center"/>
    </xf>
    <xf numFmtId="49" fontId="7" fillId="2" borderId="29" xfId="0" applyNumberFormat="1" applyFont="1" applyFill="1" applyBorder="1" applyAlignment="1">
      <alignment horizontal="left" vertical="center"/>
    </xf>
    <xf numFmtId="165" fontId="7" fillId="2" borderId="29" xfId="0" applyNumberFormat="1" applyFont="1" applyFill="1" applyBorder="1" applyAlignment="1" applyProtection="1">
      <alignment horizontal="right" vertical="center"/>
      <protection locked="0"/>
    </xf>
    <xf numFmtId="1" fontId="7" fillId="2" borderId="1" xfId="0" applyNumberFormat="1" applyFont="1" applyFill="1" applyBorder="1" applyAlignment="1" applyProtection="1">
      <alignment horizontal="right" vertical="center"/>
      <protection locked="0"/>
    </xf>
    <xf numFmtId="3" fontId="8" fillId="5" borderId="11" xfId="1" applyNumberFormat="1" applyFont="1" applyFill="1" applyBorder="1" applyAlignment="1">
      <alignment vertical="center" textRotation="90" wrapText="1"/>
    </xf>
    <xf numFmtId="1" fontId="7" fillId="2" borderId="19" xfId="0" applyNumberFormat="1" applyFont="1" applyFill="1" applyBorder="1" applyAlignment="1" applyProtection="1">
      <alignment horizontal="right" vertical="center"/>
      <protection locked="0"/>
    </xf>
    <xf numFmtId="1" fontId="7" fillId="2" borderId="17" xfId="0" applyNumberFormat="1" applyFont="1" applyFill="1" applyBorder="1" applyAlignment="1" applyProtection="1">
      <alignment horizontal="right" vertical="center"/>
      <protection locked="0"/>
    </xf>
    <xf numFmtId="3" fontId="7" fillId="6" borderId="1" xfId="0" applyNumberFormat="1" applyFont="1" applyFill="1" applyBorder="1" applyAlignment="1" applyProtection="1">
      <alignment horizontal="right" vertical="center"/>
      <protection locked="0"/>
    </xf>
    <xf numFmtId="3" fontId="7" fillId="2" borderId="1" xfId="0" applyNumberFormat="1" applyFont="1" applyFill="1" applyBorder="1" applyAlignment="1">
      <alignment horizontal="right" vertical="center"/>
    </xf>
    <xf numFmtId="4" fontId="14" fillId="2" borderId="17" xfId="0" applyNumberFormat="1" applyFont="1" applyFill="1" applyBorder="1" applyAlignment="1">
      <alignment horizontal="right" vertical="center"/>
    </xf>
    <xf numFmtId="49" fontId="7" fillId="6" borderId="23" xfId="0" applyNumberFormat="1" applyFont="1" applyFill="1" applyBorder="1" applyAlignment="1" applyProtection="1">
      <alignment horizontal="center" vertical="center"/>
      <protection locked="0"/>
    </xf>
    <xf numFmtId="3" fontId="7" fillId="6" borderId="1" xfId="0" applyNumberFormat="1" applyFont="1" applyFill="1" applyBorder="1" applyAlignment="1" applyProtection="1">
      <alignment horizontal="center" vertical="center"/>
      <protection locked="0"/>
    </xf>
    <xf numFmtId="173" fontId="15" fillId="2" borderId="30" xfId="0" applyNumberFormat="1" applyFont="1" applyFill="1" applyBorder="1" applyAlignment="1">
      <alignment horizontal="right" vertical="center"/>
    </xf>
    <xf numFmtId="174" fontId="7" fillId="6" borderId="1" xfId="0" applyNumberFormat="1" applyFont="1" applyFill="1" applyBorder="1" applyAlignment="1" applyProtection="1">
      <alignment horizontal="right" vertical="center"/>
      <protection locked="0"/>
    </xf>
    <xf numFmtId="174" fontId="7" fillId="6" borderId="1" xfId="0" applyNumberFormat="1" applyFont="1" applyFill="1" applyBorder="1" applyAlignment="1" applyProtection="1">
      <alignment horizontal="center" vertical="center"/>
      <protection locked="0"/>
    </xf>
    <xf numFmtId="173" fontId="15" fillId="2" borderId="17" xfId="0" applyNumberFormat="1" applyFont="1" applyFill="1" applyBorder="1" applyAlignment="1">
      <alignment horizontal="right" vertical="center"/>
    </xf>
    <xf numFmtId="4" fontId="15" fillId="2" borderId="74" xfId="0" applyNumberFormat="1" applyFont="1" applyFill="1" applyBorder="1" applyAlignment="1">
      <alignment vertical="center"/>
    </xf>
    <xf numFmtId="4" fontId="14" fillId="2" borderId="36" xfId="0" applyNumberFormat="1" applyFont="1" applyFill="1" applyBorder="1" applyAlignment="1">
      <alignment horizontal="right" vertical="center"/>
    </xf>
    <xf numFmtId="2" fontId="7" fillId="6" borderId="1" xfId="0" applyNumberFormat="1" applyFont="1" applyFill="1" applyBorder="1" applyAlignment="1" applyProtection="1">
      <alignment horizontal="center" vertical="center"/>
      <protection locked="0"/>
    </xf>
    <xf numFmtId="176" fontId="7" fillId="6" borderId="1" xfId="0" applyNumberFormat="1" applyFont="1" applyFill="1" applyBorder="1" applyAlignment="1" applyProtection="1">
      <alignment horizontal="center" vertical="center"/>
      <protection locked="0"/>
    </xf>
    <xf numFmtId="4" fontId="15" fillId="2" borderId="74" xfId="0" applyNumberFormat="1" applyFont="1" applyFill="1" applyBorder="1" applyAlignment="1" applyProtection="1">
      <alignment vertical="center"/>
      <protection locked="0"/>
    </xf>
    <xf numFmtId="173" fontId="14" fillId="2" borderId="36" xfId="0" applyNumberFormat="1" applyFont="1" applyFill="1" applyBorder="1" applyAlignment="1">
      <alignment horizontal="right" vertical="center"/>
    </xf>
    <xf numFmtId="173" fontId="14" fillId="2" borderId="19" xfId="0" applyNumberFormat="1" applyFont="1" applyFill="1" applyBorder="1" applyAlignment="1">
      <alignment horizontal="right" vertical="center"/>
    </xf>
    <xf numFmtId="49" fontId="7" fillId="6" borderId="30" xfId="0" applyNumberFormat="1" applyFont="1" applyFill="1" applyBorder="1" applyAlignment="1" applyProtection="1">
      <alignment horizontal="center" vertical="center"/>
      <protection locked="0"/>
    </xf>
    <xf numFmtId="49" fontId="7" fillId="6" borderId="23" xfId="0" applyNumberFormat="1" applyFont="1" applyFill="1" applyBorder="1" applyAlignment="1" applyProtection="1">
      <alignment horizontal="left" vertical="center" wrapText="1"/>
      <protection locked="0"/>
    </xf>
    <xf numFmtId="49" fontId="7" fillId="6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6" borderId="72" xfId="0" applyNumberFormat="1" applyFont="1" applyFill="1" applyBorder="1" applyAlignment="1" applyProtection="1">
      <alignment horizontal="left" vertical="center" wrapText="1"/>
      <protection locked="0"/>
    </xf>
    <xf numFmtId="3" fontId="8" fillId="4" borderId="13" xfId="1" applyNumberFormat="1" applyFont="1" applyFill="1" applyBorder="1" applyAlignment="1">
      <alignment vertical="center" textRotation="90" wrapText="1"/>
    </xf>
    <xf numFmtId="1" fontId="7" fillId="2" borderId="33" xfId="0" applyNumberFormat="1" applyFont="1" applyFill="1" applyBorder="1" applyAlignment="1" applyProtection="1">
      <alignment horizontal="right" vertical="center"/>
      <protection locked="0"/>
    </xf>
    <xf numFmtId="174" fontId="7" fillId="2" borderId="34" xfId="0" applyNumberFormat="1" applyFont="1" applyFill="1" applyBorder="1" applyAlignment="1">
      <alignment horizontal="right" vertical="center"/>
    </xf>
    <xf numFmtId="175" fontId="7" fillId="6" borderId="1" xfId="0" applyNumberFormat="1" applyFont="1" applyFill="1" applyBorder="1" applyAlignment="1" applyProtection="1">
      <alignment horizontal="center" vertical="center"/>
      <protection locked="0"/>
    </xf>
    <xf numFmtId="49" fontId="7" fillId="6" borderId="31" xfId="0" applyNumberFormat="1" applyFont="1" applyFill="1" applyBorder="1" applyAlignment="1" applyProtection="1">
      <alignment horizontal="center" vertical="center"/>
      <protection locked="0"/>
    </xf>
    <xf numFmtId="49" fontId="7" fillId="6" borderId="75" xfId="0" applyNumberFormat="1" applyFont="1" applyFill="1" applyBorder="1" applyAlignment="1" applyProtection="1">
      <alignment horizontal="left" vertical="center" wrapText="1"/>
      <protection locked="0"/>
    </xf>
    <xf numFmtId="3" fontId="13" fillId="0" borderId="0" xfId="0" applyNumberFormat="1" applyFont="1" applyAlignment="1">
      <alignment horizontal="center"/>
    </xf>
    <xf numFmtId="0" fontId="12" fillId="3" borderId="2" xfId="0" applyFont="1" applyFill="1" applyBorder="1" applyAlignment="1">
      <alignment horizontal="left" vertical="center"/>
    </xf>
    <xf numFmtId="170" fontId="12" fillId="3" borderId="3" xfId="0" applyNumberFormat="1" applyFont="1" applyFill="1" applyBorder="1" applyAlignment="1">
      <alignment horizontal="left"/>
    </xf>
    <xf numFmtId="164" fontId="12" fillId="3" borderId="3" xfId="0" applyNumberFormat="1" applyFont="1" applyFill="1" applyBorder="1" applyAlignment="1">
      <alignment horizontal="right"/>
    </xf>
    <xf numFmtId="171" fontId="12" fillId="3" borderId="3" xfId="0" applyNumberFormat="1" applyFont="1" applyFill="1" applyBorder="1" applyAlignment="1">
      <alignment horizontal="right" vertical="center"/>
    </xf>
    <xf numFmtId="172" fontId="12" fillId="3" borderId="3" xfId="0" applyNumberFormat="1" applyFont="1" applyFill="1" applyBorder="1" applyAlignment="1">
      <alignment horizontal="right" vertical="center"/>
    </xf>
    <xf numFmtId="0" fontId="12" fillId="3" borderId="3" xfId="0" applyFont="1" applyFill="1" applyBorder="1" applyAlignment="1" applyProtection="1">
      <alignment horizontal="right" vertical="center"/>
      <protection locked="0"/>
    </xf>
    <xf numFmtId="0" fontId="12" fillId="3" borderId="3" xfId="0" applyFont="1" applyFill="1" applyBorder="1"/>
    <xf numFmtId="168" fontId="12" fillId="3" borderId="3" xfId="0" applyNumberFormat="1" applyFont="1" applyFill="1" applyBorder="1" applyAlignment="1" applyProtection="1">
      <alignment horizontal="right" vertical="center"/>
      <protection locked="0"/>
    </xf>
    <xf numFmtId="169" fontId="12" fillId="3" borderId="3" xfId="0" applyNumberFormat="1" applyFont="1" applyFill="1" applyBorder="1" applyAlignment="1" applyProtection="1">
      <alignment horizontal="right" vertical="center"/>
      <protection locked="0"/>
    </xf>
    <xf numFmtId="169" fontId="12" fillId="3" borderId="4" xfId="0" applyNumberFormat="1" applyFont="1" applyFill="1" applyBorder="1" applyAlignment="1" applyProtection="1">
      <alignment horizontal="right" vertical="center"/>
      <protection locked="0"/>
    </xf>
    <xf numFmtId="3" fontId="8" fillId="9" borderId="2" xfId="1" applyNumberFormat="1" applyFont="1" applyFill="1" applyBorder="1" applyAlignment="1">
      <alignment vertical="center"/>
    </xf>
    <xf numFmtId="3" fontId="8" fillId="9" borderId="3" xfId="1" applyNumberFormat="1" applyFont="1" applyFill="1" applyBorder="1" applyAlignment="1">
      <alignment vertical="center" wrapText="1"/>
    </xf>
    <xf numFmtId="3" fontId="8" fillId="9" borderId="4" xfId="1" applyNumberFormat="1" applyFont="1" applyFill="1" applyBorder="1" applyAlignment="1">
      <alignment vertical="center" wrapText="1"/>
    </xf>
    <xf numFmtId="0" fontId="7" fillId="2" borderId="29" xfId="0" applyFont="1" applyFill="1" applyBorder="1" applyAlignment="1">
      <alignment horizontal="center" vertical="center"/>
    </xf>
    <xf numFmtId="49" fontId="6" fillId="7" borderId="3" xfId="0" applyNumberFormat="1" applyFont="1" applyFill="1" applyBorder="1" applyAlignment="1">
      <alignment horizontal="center"/>
    </xf>
    <xf numFmtId="49" fontId="6" fillId="7" borderId="9" xfId="0" applyNumberFormat="1" applyFont="1" applyFill="1" applyBorder="1" applyAlignment="1">
      <alignment horizontal="center"/>
    </xf>
    <xf numFmtId="3" fontId="7" fillId="2" borderId="25" xfId="1" applyNumberFormat="1" applyFont="1" applyFill="1" applyBorder="1" applyAlignment="1">
      <alignment horizontal="center" wrapText="1"/>
    </xf>
    <xf numFmtId="3" fontId="7" fillId="2" borderId="24" xfId="1" applyNumberFormat="1" applyFont="1" applyFill="1" applyBorder="1" applyAlignment="1">
      <alignment horizontal="center" wrapText="1"/>
    </xf>
    <xf numFmtId="3" fontId="7" fillId="2" borderId="47" xfId="1" applyNumberFormat="1" applyFont="1" applyFill="1" applyBorder="1" applyAlignment="1">
      <alignment horizontal="center" wrapText="1"/>
    </xf>
    <xf numFmtId="3" fontId="7" fillId="2" borderId="8" xfId="1" applyNumberFormat="1" applyFont="1" applyFill="1" applyBorder="1" applyAlignment="1">
      <alignment horizontal="center" wrapText="1"/>
    </xf>
    <xf numFmtId="0" fontId="10" fillId="2" borderId="45" xfId="0" applyFont="1" applyFill="1" applyBorder="1" applyAlignment="1">
      <alignment horizontal="center" wrapText="1"/>
    </xf>
    <xf numFmtId="3" fontId="8" fillId="5" borderId="2" xfId="1" applyNumberFormat="1" applyFont="1" applyFill="1" applyBorder="1" applyAlignment="1">
      <alignment horizontal="center" vertical="center" wrapText="1"/>
    </xf>
    <xf numFmtId="3" fontId="8" fillId="5" borderId="3" xfId="1" applyNumberFormat="1" applyFont="1" applyFill="1" applyBorder="1" applyAlignment="1">
      <alignment horizontal="center" vertical="center" wrapText="1"/>
    </xf>
    <xf numFmtId="3" fontId="8" fillId="5" borderId="4" xfId="1" applyNumberFormat="1" applyFont="1" applyFill="1" applyBorder="1" applyAlignment="1">
      <alignment horizontal="center" vertical="center" wrapText="1"/>
    </xf>
    <xf numFmtId="3" fontId="8" fillId="5" borderId="10" xfId="1" applyNumberFormat="1" applyFont="1" applyFill="1" applyBorder="1" applyAlignment="1">
      <alignment horizontal="center" vertical="center" textRotation="90" wrapText="1"/>
    </xf>
    <xf numFmtId="3" fontId="8" fillId="5" borderId="11" xfId="1" applyNumberFormat="1" applyFont="1" applyFill="1" applyBorder="1" applyAlignment="1">
      <alignment horizontal="center" vertical="center" textRotation="90" wrapText="1"/>
    </xf>
    <xf numFmtId="3" fontId="8" fillId="5" borderId="68" xfId="1" applyNumberFormat="1" applyFont="1" applyFill="1" applyBorder="1" applyAlignment="1">
      <alignment horizontal="center" vertical="center" textRotation="90" wrapText="1"/>
    </xf>
    <xf numFmtId="3" fontId="7" fillId="2" borderId="45" xfId="1" applyNumberFormat="1" applyFont="1" applyFill="1" applyBorder="1" applyAlignment="1">
      <alignment horizontal="center" wrapText="1"/>
    </xf>
    <xf numFmtId="0" fontId="10" fillId="2" borderId="8" xfId="0" applyFont="1" applyFill="1" applyBorder="1" applyAlignment="1">
      <alignment horizontal="center" wrapText="1"/>
    </xf>
    <xf numFmtId="3" fontId="8" fillId="4" borderId="5" xfId="1" applyNumberFormat="1" applyFont="1" applyFill="1" applyBorder="1" applyAlignment="1">
      <alignment horizontal="left" vertical="center" wrapText="1"/>
    </xf>
    <xf numFmtId="3" fontId="8" fillId="4" borderId="3" xfId="1" applyNumberFormat="1" applyFont="1" applyFill="1" applyBorder="1" applyAlignment="1">
      <alignment horizontal="left" vertical="center" wrapText="1"/>
    </xf>
    <xf numFmtId="0" fontId="10" fillId="4" borderId="3" xfId="0" applyFont="1" applyFill="1" applyBorder="1" applyAlignment="1">
      <alignment horizontal="left" vertical="center" wrapText="1"/>
    </xf>
    <xf numFmtId="0" fontId="10" fillId="4" borderId="4" xfId="0" applyFont="1" applyFill="1" applyBorder="1" applyAlignment="1">
      <alignment horizontal="left" vertical="center" wrapText="1"/>
    </xf>
    <xf numFmtId="3" fontId="8" fillId="4" borderId="12" xfId="1" applyNumberFormat="1" applyFont="1" applyFill="1" applyBorder="1" applyAlignment="1">
      <alignment horizontal="center" vertical="center" textRotation="90" wrapText="1"/>
    </xf>
    <xf numFmtId="3" fontId="8" fillId="4" borderId="13" xfId="1" applyNumberFormat="1" applyFont="1" applyFill="1" applyBorder="1" applyAlignment="1">
      <alignment horizontal="center" vertical="center" textRotation="90" wrapText="1"/>
    </xf>
    <xf numFmtId="3" fontId="8" fillId="4" borderId="69" xfId="1" applyNumberFormat="1" applyFont="1" applyFill="1" applyBorder="1" applyAlignment="1">
      <alignment horizontal="center" vertical="center" textRotation="90" wrapText="1"/>
    </xf>
    <xf numFmtId="3" fontId="7" fillId="2" borderId="22" xfId="1" applyNumberFormat="1" applyFont="1" applyFill="1" applyBorder="1" applyAlignment="1">
      <alignment horizontal="center" wrapText="1"/>
    </xf>
    <xf numFmtId="3" fontId="7" fillId="2" borderId="20" xfId="1" applyNumberFormat="1" applyFont="1" applyFill="1" applyBorder="1" applyAlignment="1">
      <alignment horizontal="center" wrapText="1"/>
    </xf>
  </cellXfs>
  <cellStyles count="2">
    <cellStyle name="Standard" xfId="0" builtinId="0"/>
    <cellStyle name="Standard_Grundl_GAP_021106" xfId="1" xr:uid="{00000000-0005-0000-0000-000001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8F8F8"/>
      <rgbColor rgb="00DDDDDD"/>
      <rgbColor rgb="00FFFFCC"/>
      <rgbColor rgb="00CCFFFF"/>
      <rgbColor rgb="00660066"/>
      <rgbColor rgb="00FF8080"/>
      <rgbColor rgb="000066CC"/>
      <rgbColor rgb="00CCCCFF"/>
      <rgbColor rgb="00EAEAEA"/>
      <rgbColor rgb="00C0C0C0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5CFE8"/>
      <color rgb="FFFFFF66"/>
      <color rgb="FFECC5FB"/>
      <color rgb="FFFFC58B"/>
      <color rgb="FF66CCFF"/>
      <color rgb="FF6668FF"/>
      <color rgb="FFFF7C80"/>
      <color rgb="FFBFFF9F"/>
      <color rgb="FF07C9C9"/>
      <color rgb="FF76FD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\TA\301982_FhG%20IESE%20Kaiserslautern\400_TA\420_TA-VP\423_Grundlagen\010%20Leistungsermittlungstabelle\240117_IESE_CPL_Raumtypen.xlsx" TargetMode="External"/><Relationship Id="rId1" Type="http://schemas.openxmlformats.org/officeDocument/2006/relationships/externalLinkPath" Target="240117_IESE_CPL_Raumtyp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slegungsgrundlagen"/>
    </sheetNames>
    <sheetDataSet>
      <sheetData sheetId="0" refreshError="1">
        <row r="9">
          <cell r="A9">
            <v>1</v>
          </cell>
          <cell r="B9" t="str">
            <v>Flex-/ Co-Work/</v>
          </cell>
          <cell r="M9">
            <v>50</v>
          </cell>
          <cell r="Q9"/>
          <cell r="U9">
            <v>40</v>
          </cell>
        </row>
        <row r="10">
          <cell r="A10">
            <v>2</v>
          </cell>
          <cell r="B10" t="str">
            <v>Einzel-/Zweierbüros</v>
          </cell>
          <cell r="M10">
            <v>50</v>
          </cell>
          <cell r="Q10"/>
          <cell r="U10">
            <v>40</v>
          </cell>
        </row>
        <row r="11">
          <cell r="A11">
            <v>3</v>
          </cell>
          <cell r="B11" t="str">
            <v>Technikum</v>
          </cell>
          <cell r="M11">
            <v>0</v>
          </cell>
          <cell r="Q11"/>
          <cell r="U11">
            <v>40</v>
          </cell>
        </row>
        <row r="12">
          <cell r="A12">
            <v>4</v>
          </cell>
          <cell r="B12" t="str">
            <v>Smart Farming</v>
          </cell>
          <cell r="M12">
            <v>50</v>
          </cell>
          <cell r="Q12"/>
          <cell r="U12">
            <v>40</v>
          </cell>
        </row>
        <row r="13">
          <cell r="A13">
            <v>5</v>
          </cell>
          <cell r="B13" t="str">
            <v>Robotik</v>
          </cell>
          <cell r="M13">
            <v>50</v>
          </cell>
          <cell r="Q13"/>
          <cell r="U13">
            <v>40</v>
          </cell>
        </row>
        <row r="14">
          <cell r="A14">
            <v>6</v>
          </cell>
          <cell r="B14" t="str">
            <v>Verkehrsflächen, Flure</v>
          </cell>
          <cell r="M14">
            <v>0</v>
          </cell>
          <cell r="Q14"/>
          <cell r="U14">
            <v>0</v>
          </cell>
        </row>
        <row r="15">
          <cell r="A15">
            <v>7</v>
          </cell>
          <cell r="B15" t="str">
            <v>Teeküchen</v>
          </cell>
          <cell r="M15">
            <v>0</v>
          </cell>
          <cell r="Q15"/>
          <cell r="U15">
            <v>30</v>
          </cell>
        </row>
        <row r="16">
          <cell r="A16">
            <v>8</v>
          </cell>
          <cell r="B16" t="str">
            <v>WCs</v>
          </cell>
          <cell r="M16">
            <v>0</v>
          </cell>
          <cell r="Q16"/>
          <cell r="U16">
            <v>30</v>
          </cell>
        </row>
        <row r="17">
          <cell r="A17">
            <v>9</v>
          </cell>
          <cell r="B17" t="str">
            <v>ELT-Zentrale</v>
          </cell>
          <cell r="M17">
            <v>0</v>
          </cell>
          <cell r="Q17"/>
          <cell r="U17">
            <v>0</v>
          </cell>
        </row>
        <row r="18">
          <cell r="A18">
            <v>10</v>
          </cell>
          <cell r="B18" t="str">
            <v>Putzmittel/ Lager</v>
          </cell>
          <cell r="M18">
            <v>0</v>
          </cell>
          <cell r="Q18"/>
          <cell r="U18">
            <v>15</v>
          </cell>
        </row>
        <row r="19">
          <cell r="A19">
            <v>11</v>
          </cell>
          <cell r="B19" t="str">
            <v>Lager innenliegend</v>
          </cell>
          <cell r="M19">
            <v>0</v>
          </cell>
          <cell r="Q19"/>
          <cell r="U19">
            <v>0</v>
          </cell>
        </row>
        <row r="20">
          <cell r="A20">
            <v>12</v>
          </cell>
          <cell r="B20" t="str">
            <v>TGA-Zentrale</v>
          </cell>
          <cell r="M20">
            <v>0</v>
          </cell>
          <cell r="Q20"/>
          <cell r="U20">
            <v>0</v>
          </cell>
        </row>
        <row r="21">
          <cell r="A21">
            <v>13</v>
          </cell>
          <cell r="B21" t="str">
            <v>Etagenverteiler</v>
          </cell>
          <cell r="M21">
            <v>0</v>
          </cell>
          <cell r="Q21"/>
          <cell r="U21">
            <v>0</v>
          </cell>
        </row>
        <row r="22">
          <cell r="A22">
            <v>14</v>
          </cell>
          <cell r="B22" t="str">
            <v>ELT-Schacht</v>
          </cell>
          <cell r="M22">
            <v>0</v>
          </cell>
          <cell r="Q22"/>
          <cell r="U22">
            <v>0</v>
          </cell>
        </row>
        <row r="23">
          <cell r="A23">
            <v>15</v>
          </cell>
          <cell r="B23" t="str">
            <v>Batterieräume</v>
          </cell>
          <cell r="M23">
            <v>0</v>
          </cell>
          <cell r="Q23"/>
          <cell r="U23">
            <v>0</v>
          </cell>
        </row>
        <row r="24">
          <cell r="A24">
            <v>16</v>
          </cell>
          <cell r="B24" t="str">
            <v>Drucker-/Kopierräume</v>
          </cell>
          <cell r="M24">
            <v>30</v>
          </cell>
          <cell r="Q24"/>
          <cell r="U24">
            <v>30</v>
          </cell>
        </row>
        <row r="25">
          <cell r="A25">
            <v>17</v>
          </cell>
          <cell r="B25" t="str">
            <v>Treppenhäuser/Magistrale</v>
          </cell>
          <cell r="M25">
            <v>0</v>
          </cell>
          <cell r="Q25"/>
          <cell r="U25">
            <v>25</v>
          </cell>
        </row>
        <row r="26">
          <cell r="A26">
            <v>18</v>
          </cell>
          <cell r="B26" t="str">
            <v>Schächte</v>
          </cell>
          <cell r="M26"/>
          <cell r="Q26"/>
          <cell r="U26">
            <v>0</v>
          </cell>
        </row>
        <row r="27">
          <cell r="A27">
            <v>19</v>
          </cell>
          <cell r="B27" t="str">
            <v>Aufzüge</v>
          </cell>
          <cell r="M27"/>
          <cell r="Q27"/>
          <cell r="U27">
            <v>0</v>
          </cell>
        </row>
        <row r="28">
          <cell r="A28">
            <v>20</v>
          </cell>
          <cell r="B28" t="str">
            <v>Serminarraum</v>
          </cell>
          <cell r="M28">
            <v>50</v>
          </cell>
          <cell r="Q28"/>
          <cell r="U28">
            <v>40</v>
          </cell>
        </row>
        <row r="29">
          <cell r="A29">
            <v>21</v>
          </cell>
          <cell r="B29" t="str">
            <v>Diele</v>
          </cell>
          <cell r="M29">
            <v>0</v>
          </cell>
          <cell r="Q29"/>
          <cell r="U29">
            <v>40</v>
          </cell>
        </row>
        <row r="30">
          <cell r="A30" t="str">
            <v>x</v>
          </cell>
          <cell r="B30" t="str">
            <v>Reserve</v>
          </cell>
          <cell r="M30"/>
          <cell r="Q30"/>
          <cell r="U30"/>
        </row>
        <row r="31">
          <cell r="A31" t="str">
            <v>x</v>
          </cell>
          <cell r="B31" t="str">
            <v>Reserve</v>
          </cell>
          <cell r="M31"/>
          <cell r="Q31"/>
          <cell r="U31"/>
        </row>
        <row r="32">
          <cell r="A32" t="str">
            <v>x</v>
          </cell>
          <cell r="B32" t="str">
            <v>Reserve</v>
          </cell>
          <cell r="M32"/>
          <cell r="Q32"/>
          <cell r="U32"/>
        </row>
        <row r="33">
          <cell r="A33" t="str">
            <v>x</v>
          </cell>
          <cell r="B33" t="str">
            <v>Reserve</v>
          </cell>
          <cell r="M33"/>
          <cell r="Q33"/>
          <cell r="U33"/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Yao Yuan, Assmann Beraten + Planen" id="{1B395D92-A0A9-4B1E-A3B4-54071ED17176}" userId="S::yuan.yao@assmann.info::c4eac438-129d-4a1e-8771-7e71e532531e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60" dT="2024-05-15T11:22:28.90" personId="{1B395D92-A0A9-4B1E-A3B4-54071ED17176}" id="{95C2783F-A7A4-4A88-B341-6FC810F040FD}">
    <text xml:space="preserve">Aus JF Protokoll
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comments" Target="../comments1.xml"/><Relationship Id="rId5" Type="http://schemas.openxmlformats.org/officeDocument/2006/relationships/printerSettings" Target="../printerSettings/printerSettings5.bin"/><Relationship Id="rId10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4.bin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>
    <pageSetUpPr autoPageBreaks="0"/>
  </sheetPr>
  <dimension ref="A1:IV167"/>
  <sheetViews>
    <sheetView showGridLines="0" tabSelected="1" topLeftCell="F2" zoomScale="90" zoomScaleNormal="90" zoomScaleSheetLayoutView="100" zoomScalePageLayoutView="70" workbookViewId="0">
      <pane xSplit="8" ySplit="8" topLeftCell="X10" activePane="bottomRight" state="frozen"/>
      <selection activeCell="F2" sqref="F2"/>
      <selection pane="topRight" activeCell="N2" sqref="N2"/>
      <selection pane="bottomLeft" activeCell="F10" sqref="F10"/>
      <selection pane="bottomRight" activeCell="Z20" sqref="Z20"/>
    </sheetView>
  </sheetViews>
  <sheetFormatPr baseColWidth="10" defaultColWidth="11.44140625" defaultRowHeight="11.4" outlineLevelCol="3"/>
  <cols>
    <col min="1" max="1" width="9.83203125" style="126" customWidth="1"/>
    <col min="2" max="2" width="30.71875" style="126" customWidth="1"/>
    <col min="3" max="3" width="15.71875" style="126" customWidth="1"/>
    <col min="4" max="4" width="15" style="126" customWidth="1"/>
    <col min="5" max="5" width="3.71875" style="126" customWidth="1"/>
    <col min="6" max="6" width="15.71875" style="126" hidden="1" customWidth="1"/>
    <col min="7" max="7" width="10.71875" style="126" customWidth="1"/>
    <col min="8" max="9" width="13.71875" style="126" hidden="1" customWidth="1" outlineLevel="1"/>
    <col min="10" max="10" width="13.71875" style="19" customWidth="1" collapsed="1"/>
    <col min="11" max="11" width="30.71875" style="19" customWidth="1"/>
    <col min="12" max="12" width="9.71875" style="19" customWidth="1" outlineLevel="1"/>
    <col min="13" max="13" width="30.71875" style="19" customWidth="1" outlineLevel="1"/>
    <col min="14" max="15" width="11.71875" style="126" customWidth="1"/>
    <col min="16" max="16" width="10.71875" style="126" hidden="1" customWidth="1"/>
    <col min="17" max="17" width="6.71875" style="19" customWidth="1"/>
    <col min="18" max="20" width="12.71875" style="19" customWidth="1" outlineLevel="1"/>
    <col min="21" max="22" width="12.71875" style="19" hidden="1" customWidth="1" outlineLevel="1"/>
    <col min="23" max="23" width="12.71875" style="19" customWidth="1" outlineLevel="1"/>
    <col min="24" max="24" width="12.71875" style="19" customWidth="1" outlineLevel="2"/>
    <col min="25" max="26" width="10.71875" style="19" customWidth="1" outlineLevel="2"/>
    <col min="27" max="27" width="13.1640625" style="19" customWidth="1" outlineLevel="2"/>
    <col min="28" max="28" width="12.71875" style="19" hidden="1" customWidth="1" outlineLevel="3"/>
    <col min="29" max="31" width="10.71875" style="19" hidden="1" customWidth="1" outlineLevel="3"/>
    <col min="32" max="32" width="2.83203125" style="19" hidden="1" customWidth="1" outlineLevel="2" collapsed="1"/>
    <col min="33" max="33" width="12.71875" style="19" hidden="1" customWidth="1" outlineLevel="3"/>
    <col min="34" max="36" width="10.71875" style="19" hidden="1" customWidth="1" outlineLevel="3"/>
    <col min="37" max="37" width="2.83203125" style="19" hidden="1" customWidth="1" outlineLevel="2" collapsed="1"/>
    <col min="38" max="38" width="12.71875" style="19" hidden="1" customWidth="1" outlineLevel="1"/>
    <col min="39" max="39" width="12.71875" style="19" hidden="1" customWidth="1" outlineLevel="2"/>
    <col min="40" max="42" width="10.71875" style="19" hidden="1" customWidth="1" outlineLevel="2"/>
    <col min="43" max="43" width="13.1640625" style="19" hidden="1" customWidth="1" outlineLevel="2"/>
    <col min="44" max="44" width="12.71875" style="19" hidden="1" customWidth="1" outlineLevel="3"/>
    <col min="45" max="48" width="10.71875" style="19" hidden="1" customWidth="1" outlineLevel="3"/>
    <col min="49" max="49" width="2.83203125" style="19" hidden="1" customWidth="1" outlineLevel="2" collapsed="1"/>
    <col min="50" max="50" width="12.71875" style="19" hidden="1" customWidth="1" outlineLevel="3"/>
    <col min="51" max="54" width="10.71875" style="19" hidden="1" customWidth="1" outlineLevel="3"/>
    <col min="55" max="55" width="2.83203125" style="19" hidden="1" customWidth="1" outlineLevel="2" collapsed="1"/>
    <col min="56" max="56" width="12.71875" style="19" hidden="1" customWidth="1" outlineLevel="1" collapsed="1"/>
    <col min="57" max="57" width="12.71875" style="19" hidden="1" customWidth="1" outlineLevel="1"/>
    <col min="58" max="59" width="10.71875" style="19" hidden="1" customWidth="1" outlineLevel="1"/>
    <col min="60" max="62" width="20.71875" style="19" hidden="1" customWidth="1" outlineLevel="1"/>
    <col min="63" max="63" width="6.71875" style="19" customWidth="1"/>
    <col min="64" max="64" width="12.71875" style="19" customWidth="1" outlineLevel="1"/>
    <col min="65" max="66" width="12.71875" style="19" hidden="1" customWidth="1" outlineLevel="1"/>
    <col min="67" max="67" width="12.71875" style="19" customWidth="1" outlineLevel="1"/>
    <col min="68" max="68" width="12.71875" style="19" customWidth="1" outlineLevel="2"/>
    <col min="69" max="70" width="10.71875" style="19" customWidth="1" outlineLevel="2"/>
    <col min="71" max="71" width="13.1640625" style="19" customWidth="1" outlineLevel="2"/>
    <col min="72" max="72" width="12.71875" style="19" hidden="1" customWidth="1" outlineLevel="3"/>
    <col min="73" max="75" width="10.71875" style="19" hidden="1" customWidth="1" outlineLevel="3"/>
    <col min="76" max="76" width="2.83203125" style="19" hidden="1" customWidth="1" outlineLevel="2" collapsed="1"/>
    <col min="77" max="77" width="12.71875" style="19" hidden="1" customWidth="1" outlineLevel="3"/>
    <col min="78" max="80" width="10.71875" style="19" hidden="1" customWidth="1" outlineLevel="3"/>
    <col min="81" max="81" width="2.83203125" style="19" hidden="1" customWidth="1" outlineLevel="2" collapsed="1"/>
    <col min="82" max="82" width="12.71875" style="19" hidden="1" customWidth="1" outlineLevel="1"/>
    <col min="83" max="83" width="10.71875" style="19" hidden="1" customWidth="1" outlineLevel="1"/>
    <col min="84" max="84" width="20.71875" style="19" hidden="1" customWidth="1" outlineLevel="1"/>
    <col min="85" max="16384" width="11.44140625" style="11"/>
  </cols>
  <sheetData>
    <row r="1" spans="1:256" ht="12.6" hidden="1" customHeight="1" thickBot="1">
      <c r="A1" s="1" t="s">
        <v>0</v>
      </c>
      <c r="B1" s="1"/>
      <c r="C1" s="1"/>
      <c r="D1" s="1" t="s">
        <v>41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 t="s">
        <v>63</v>
      </c>
      <c r="S1" s="2" t="s">
        <v>64</v>
      </c>
      <c r="T1" s="2" t="s">
        <v>65</v>
      </c>
      <c r="U1" s="2" t="s">
        <v>66</v>
      </c>
      <c r="V1" s="1"/>
      <c r="W1" s="1" t="s">
        <v>67</v>
      </c>
      <c r="X1" s="1" t="s">
        <v>68</v>
      </c>
      <c r="Y1" s="1" t="s">
        <v>69</v>
      </c>
      <c r="Z1" s="1" t="s">
        <v>70</v>
      </c>
      <c r="AA1" s="1"/>
      <c r="AB1" s="1" t="s">
        <v>71</v>
      </c>
      <c r="AC1" s="1" t="s">
        <v>72</v>
      </c>
      <c r="AD1" s="1" t="s">
        <v>73</v>
      </c>
      <c r="AE1" s="1"/>
      <c r="AF1" s="1"/>
      <c r="AG1" s="1" t="s">
        <v>74</v>
      </c>
      <c r="AH1" s="1" t="s">
        <v>75</v>
      </c>
      <c r="AI1" s="1" t="s">
        <v>76</v>
      </c>
      <c r="AJ1" s="1"/>
      <c r="AK1" s="1"/>
      <c r="AL1" s="1" t="s">
        <v>77</v>
      </c>
      <c r="AM1" s="1" t="s">
        <v>78</v>
      </c>
      <c r="AN1" s="2" t="s">
        <v>79</v>
      </c>
      <c r="AO1" s="2" t="s">
        <v>80</v>
      </c>
      <c r="AP1" s="2" t="s">
        <v>81</v>
      </c>
      <c r="AQ1" s="1"/>
      <c r="AR1" s="1" t="s">
        <v>82</v>
      </c>
      <c r="AS1" s="2" t="s">
        <v>83</v>
      </c>
      <c r="AT1" s="2" t="s">
        <v>84</v>
      </c>
      <c r="AU1" s="2" t="s">
        <v>85</v>
      </c>
      <c r="AV1" s="1"/>
      <c r="AW1" s="1"/>
      <c r="AX1" s="1" t="s">
        <v>86</v>
      </c>
      <c r="AY1" s="2" t="s">
        <v>87</v>
      </c>
      <c r="AZ1" s="2" t="s">
        <v>88</v>
      </c>
      <c r="BA1" s="2" t="s">
        <v>89</v>
      </c>
      <c r="BB1" s="1"/>
      <c r="BC1" s="1"/>
      <c r="BD1" s="1" t="s">
        <v>90</v>
      </c>
      <c r="BE1" s="1" t="s">
        <v>91</v>
      </c>
      <c r="BF1" s="3" t="s">
        <v>92</v>
      </c>
      <c r="BG1" s="3" t="s">
        <v>93</v>
      </c>
      <c r="BH1" s="3" t="s">
        <v>94</v>
      </c>
      <c r="BI1" s="3" t="s">
        <v>95</v>
      </c>
      <c r="BJ1" s="1" t="s">
        <v>96</v>
      </c>
      <c r="BK1" s="1"/>
      <c r="BL1" s="4" t="s">
        <v>97</v>
      </c>
      <c r="BM1" s="4" t="s">
        <v>98</v>
      </c>
      <c r="BN1" s="1"/>
      <c r="BO1" s="1" t="s">
        <v>99</v>
      </c>
      <c r="BP1" s="5" t="s">
        <v>100</v>
      </c>
      <c r="BQ1" s="6" t="s">
        <v>101</v>
      </c>
      <c r="BR1" s="5" t="s">
        <v>102</v>
      </c>
      <c r="BS1" s="1"/>
      <c r="BT1" s="5" t="s">
        <v>103</v>
      </c>
      <c r="BU1" s="6" t="s">
        <v>104</v>
      </c>
      <c r="BV1" s="5" t="s">
        <v>105</v>
      </c>
      <c r="BW1" s="1"/>
      <c r="BX1" s="1"/>
      <c r="BY1" s="5" t="s">
        <v>106</v>
      </c>
      <c r="BZ1" s="6" t="s">
        <v>107</v>
      </c>
      <c r="CA1" s="5" t="s">
        <v>108</v>
      </c>
      <c r="CB1" s="1"/>
      <c r="CC1" s="1"/>
      <c r="CD1" s="1" t="s">
        <v>109</v>
      </c>
      <c r="CE1" s="3" t="s">
        <v>110</v>
      </c>
      <c r="CF1" s="1" t="s">
        <v>111</v>
      </c>
      <c r="CG1" s="7"/>
      <c r="CH1" s="7"/>
      <c r="CI1" s="7"/>
      <c r="CJ1" s="7"/>
      <c r="CK1" s="7"/>
      <c r="CL1" s="7"/>
      <c r="CM1" s="7"/>
      <c r="CN1" s="7"/>
      <c r="CO1" s="7"/>
      <c r="CP1" s="8"/>
      <c r="CQ1" s="8"/>
      <c r="CR1" s="8"/>
      <c r="CS1" s="8"/>
      <c r="CT1" s="8"/>
      <c r="CU1" s="9"/>
      <c r="CV1" s="10"/>
      <c r="CW1" s="9"/>
      <c r="CX1" s="10"/>
      <c r="CY1" s="9"/>
      <c r="CZ1" s="10"/>
      <c r="DA1" s="8"/>
      <c r="DB1" s="9"/>
      <c r="DC1" s="8"/>
      <c r="DD1" s="8"/>
      <c r="DE1" s="9"/>
      <c r="DF1" s="9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</row>
    <row r="2" spans="1:256" ht="19.899999999999999" customHeight="1" thickBot="1">
      <c r="A2" s="12"/>
      <c r="B2" s="12"/>
      <c r="C2" s="12"/>
      <c r="D2" s="12"/>
      <c r="E2" s="12"/>
      <c r="F2" s="174" t="s">
        <v>115</v>
      </c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5"/>
      <c r="AK2" s="175"/>
      <c r="AL2" s="175"/>
      <c r="AM2" s="175"/>
      <c r="AN2" s="175"/>
      <c r="AO2" s="175"/>
      <c r="AP2" s="175"/>
      <c r="AQ2" s="175"/>
      <c r="AR2" s="175"/>
      <c r="AS2" s="175"/>
      <c r="AT2" s="175"/>
      <c r="AU2" s="175"/>
      <c r="AV2" s="175"/>
      <c r="AW2" s="175"/>
      <c r="AX2" s="175"/>
      <c r="AY2" s="175"/>
      <c r="AZ2" s="175"/>
      <c r="BA2" s="175"/>
      <c r="BB2" s="175"/>
      <c r="BC2" s="175"/>
      <c r="BD2" s="175"/>
      <c r="BE2" s="175"/>
      <c r="BF2" s="175"/>
      <c r="BG2" s="175"/>
      <c r="BH2" s="175"/>
      <c r="BI2" s="175"/>
      <c r="BJ2" s="175"/>
      <c r="BK2" s="175"/>
      <c r="BL2" s="175"/>
      <c r="BM2" s="175"/>
      <c r="BN2" s="175"/>
      <c r="BO2" s="175"/>
      <c r="BP2" s="175"/>
      <c r="BQ2" s="175"/>
      <c r="BR2" s="175"/>
      <c r="BS2" s="175"/>
      <c r="BT2" s="175"/>
      <c r="BU2" s="175"/>
      <c r="BV2" s="175"/>
      <c r="BW2" s="175"/>
      <c r="BX2" s="175"/>
      <c r="BY2" s="175"/>
      <c r="BZ2" s="175"/>
      <c r="CA2" s="175"/>
      <c r="CB2" s="175"/>
      <c r="CC2" s="175"/>
      <c r="CD2" s="175"/>
      <c r="CE2" s="175"/>
      <c r="CF2" s="176"/>
      <c r="CG2" s="7"/>
      <c r="CH2" s="7"/>
      <c r="CI2" s="7"/>
      <c r="CJ2" s="7"/>
      <c r="CK2" s="7"/>
      <c r="CL2" s="7"/>
      <c r="CM2" s="7"/>
      <c r="CN2" s="7"/>
      <c r="CO2" s="7"/>
      <c r="CP2" s="8"/>
      <c r="CQ2" s="8"/>
      <c r="CR2" s="8"/>
      <c r="CS2" s="8"/>
      <c r="CT2" s="8"/>
      <c r="CU2" s="9"/>
      <c r="CV2" s="10"/>
      <c r="CW2" s="9"/>
      <c r="CX2" s="10"/>
      <c r="CY2" s="9"/>
      <c r="CZ2" s="10"/>
      <c r="DA2" s="8"/>
      <c r="DB2" s="9"/>
      <c r="DC2" s="8"/>
      <c r="DD2" s="8"/>
      <c r="DE2" s="9"/>
      <c r="DF2" s="9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</row>
    <row r="3" spans="1:256" s="19" customFormat="1" ht="10.15" customHeight="1">
      <c r="A3" s="12"/>
      <c r="B3" s="12"/>
      <c r="C3" s="12"/>
      <c r="D3" s="12"/>
      <c r="E3" s="12"/>
      <c r="F3" s="13"/>
      <c r="G3" s="14"/>
      <c r="H3" s="14"/>
      <c r="I3" s="14"/>
      <c r="J3" s="15"/>
      <c r="K3" s="16"/>
      <c r="L3" s="15"/>
      <c r="M3" s="15"/>
      <c r="N3" s="16"/>
      <c r="O3" s="16"/>
      <c r="P3" s="16"/>
      <c r="Q3" s="17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8"/>
      <c r="AN3" s="16"/>
      <c r="AO3" s="16"/>
      <c r="AP3" s="16"/>
      <c r="AQ3" s="16"/>
      <c r="AR3" s="18"/>
      <c r="AS3" s="16"/>
      <c r="AT3" s="16"/>
      <c r="AU3" s="16"/>
      <c r="AV3" s="16"/>
      <c r="AW3" s="16"/>
      <c r="AX3" s="18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7"/>
      <c r="CH3" s="7"/>
      <c r="CI3" s="7"/>
      <c r="CJ3" s="7"/>
      <c r="CK3" s="7"/>
      <c r="CL3" s="7"/>
      <c r="CM3" s="7"/>
      <c r="CN3" s="7"/>
      <c r="CO3" s="7"/>
      <c r="CP3" s="8"/>
      <c r="CQ3" s="8"/>
      <c r="CR3" s="8"/>
      <c r="CS3" s="8"/>
      <c r="CT3" s="8"/>
      <c r="CU3" s="9"/>
      <c r="CV3" s="10"/>
      <c r="CW3" s="9"/>
      <c r="CX3" s="10"/>
      <c r="CY3" s="9"/>
      <c r="CZ3" s="10"/>
      <c r="DA3" s="8"/>
      <c r="DB3" s="9"/>
      <c r="DC3" s="8"/>
      <c r="DD3" s="8"/>
      <c r="DE3" s="9"/>
      <c r="DF3" s="9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</row>
    <row r="4" spans="1:256" s="19" customFormat="1" ht="10.15" customHeight="1" thickBot="1">
      <c r="A4" s="12"/>
      <c r="B4" s="12"/>
      <c r="C4" s="12"/>
      <c r="D4" s="12"/>
      <c r="E4" s="12"/>
      <c r="F4" s="13"/>
      <c r="G4" s="14"/>
      <c r="H4" s="14"/>
      <c r="I4" s="14"/>
      <c r="J4" s="15"/>
      <c r="K4" s="16"/>
      <c r="L4" s="15"/>
      <c r="M4" s="15"/>
      <c r="N4" s="16"/>
      <c r="O4" s="16"/>
      <c r="P4" s="16"/>
      <c r="Q4" s="17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8"/>
      <c r="AN4" s="16"/>
      <c r="AO4" s="16"/>
      <c r="AP4" s="16"/>
      <c r="AQ4" s="16"/>
      <c r="AR4" s="18"/>
      <c r="AS4" s="16"/>
      <c r="AT4" s="16"/>
      <c r="AU4" s="16"/>
      <c r="AV4" s="16"/>
      <c r="AW4" s="16"/>
      <c r="AX4" s="18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7"/>
      <c r="CH4" s="7"/>
      <c r="CI4" s="7"/>
      <c r="CJ4" s="7"/>
      <c r="CK4" s="7"/>
      <c r="CL4" s="7"/>
      <c r="CM4" s="7"/>
      <c r="CN4" s="7"/>
      <c r="CO4" s="7"/>
      <c r="CP4" s="8"/>
      <c r="CQ4" s="8"/>
      <c r="CR4" s="8"/>
      <c r="CS4" s="8"/>
      <c r="CT4" s="8"/>
      <c r="CU4" s="9"/>
      <c r="CV4" s="10"/>
      <c r="CW4" s="9"/>
      <c r="CX4" s="10"/>
      <c r="CY4" s="9"/>
      <c r="CZ4" s="10"/>
      <c r="DA4" s="8"/>
      <c r="DB4" s="9"/>
      <c r="DC4" s="8"/>
      <c r="DD4" s="8"/>
      <c r="DE4" s="9"/>
      <c r="DF4" s="9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</row>
    <row r="5" spans="1:256" s="19" customFormat="1" ht="25.15" customHeight="1" thickBot="1">
      <c r="A5" s="12"/>
      <c r="B5" s="12"/>
      <c r="C5" s="12"/>
      <c r="D5" s="12"/>
      <c r="E5" s="12"/>
      <c r="F5" s="20" t="s">
        <v>6</v>
      </c>
      <c r="G5" s="21"/>
      <c r="H5" s="21"/>
      <c r="I5" s="21"/>
      <c r="J5" s="21"/>
      <c r="K5" s="21"/>
      <c r="L5" s="21"/>
      <c r="M5" s="21"/>
      <c r="N5" s="21"/>
      <c r="O5" s="21"/>
      <c r="P5" s="22"/>
      <c r="Q5" s="188" t="s">
        <v>27</v>
      </c>
      <c r="R5" s="185" t="s">
        <v>9</v>
      </c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7"/>
      <c r="BK5" s="197" t="s">
        <v>26</v>
      </c>
      <c r="BL5" s="193" t="s">
        <v>10</v>
      </c>
      <c r="BM5" s="194"/>
      <c r="BN5" s="194"/>
      <c r="BO5" s="194"/>
      <c r="BP5" s="194"/>
      <c r="BQ5" s="194"/>
      <c r="BR5" s="194"/>
      <c r="BS5" s="194"/>
      <c r="BT5" s="195"/>
      <c r="BU5" s="195"/>
      <c r="BV5" s="195"/>
      <c r="BW5" s="195"/>
      <c r="BX5" s="195"/>
      <c r="BY5" s="195"/>
      <c r="BZ5" s="195"/>
      <c r="CA5" s="195"/>
      <c r="CB5" s="195"/>
      <c r="CC5" s="195"/>
      <c r="CD5" s="195"/>
      <c r="CE5" s="195"/>
      <c r="CF5" s="196"/>
      <c r="CG5" s="7"/>
      <c r="CH5" s="7"/>
      <c r="CI5" s="7"/>
      <c r="CJ5" s="7"/>
      <c r="CK5" s="7"/>
      <c r="CL5" s="7"/>
      <c r="CM5" s="7"/>
      <c r="CN5" s="7"/>
      <c r="CO5" s="7"/>
      <c r="CP5" s="8"/>
      <c r="CQ5" s="8"/>
      <c r="CR5" s="8"/>
      <c r="CS5" s="8"/>
      <c r="CT5" s="8"/>
      <c r="CU5" s="9"/>
      <c r="CV5" s="10"/>
      <c r="CW5" s="9"/>
      <c r="CX5" s="10"/>
      <c r="CY5" s="9"/>
      <c r="CZ5" s="10"/>
      <c r="DA5" s="8"/>
      <c r="DB5" s="9"/>
      <c r="DC5" s="8"/>
      <c r="DD5" s="8"/>
      <c r="DE5" s="9"/>
      <c r="DF5" s="9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</row>
    <row r="6" spans="1:256" s="19" customFormat="1" ht="64.900000000000006" customHeight="1">
      <c r="A6" s="12"/>
      <c r="B6" s="12"/>
      <c r="C6" s="12"/>
      <c r="D6" s="12"/>
      <c r="E6" s="12"/>
      <c r="F6" s="23" t="s">
        <v>116</v>
      </c>
      <c r="G6" s="24" t="s">
        <v>39</v>
      </c>
      <c r="H6" s="25" t="s">
        <v>112</v>
      </c>
      <c r="I6" s="25" t="s">
        <v>113</v>
      </c>
      <c r="J6" s="26" t="s">
        <v>19</v>
      </c>
      <c r="K6" s="24" t="s">
        <v>56</v>
      </c>
      <c r="L6" s="26" t="s">
        <v>36</v>
      </c>
      <c r="M6" s="27" t="s">
        <v>37</v>
      </c>
      <c r="N6" s="25" t="s">
        <v>2</v>
      </c>
      <c r="O6" s="25" t="s">
        <v>3</v>
      </c>
      <c r="P6" s="28" t="s">
        <v>117</v>
      </c>
      <c r="Q6" s="189"/>
      <c r="R6" s="29" t="s">
        <v>57</v>
      </c>
      <c r="S6" s="30" t="s">
        <v>58</v>
      </c>
      <c r="T6" s="25" t="s">
        <v>61</v>
      </c>
      <c r="U6" s="25" t="s">
        <v>35</v>
      </c>
      <c r="V6" s="25" t="s">
        <v>23</v>
      </c>
      <c r="W6" s="31" t="s">
        <v>34</v>
      </c>
      <c r="X6" s="182" t="s">
        <v>46</v>
      </c>
      <c r="Y6" s="192"/>
      <c r="Z6" s="192"/>
      <c r="AA6" s="184"/>
      <c r="AB6" s="180" t="s">
        <v>45</v>
      </c>
      <c r="AC6" s="181"/>
      <c r="AD6" s="181"/>
      <c r="AE6" s="181"/>
      <c r="AF6" s="32"/>
      <c r="AG6" s="200" t="s">
        <v>44</v>
      </c>
      <c r="AH6" s="201"/>
      <c r="AI6" s="201"/>
      <c r="AJ6" s="201"/>
      <c r="AK6" s="33"/>
      <c r="AL6" s="34" t="s">
        <v>33</v>
      </c>
      <c r="AM6" s="182" t="s">
        <v>49</v>
      </c>
      <c r="AN6" s="183"/>
      <c r="AO6" s="183"/>
      <c r="AP6" s="183"/>
      <c r="AQ6" s="191"/>
      <c r="AR6" s="180" t="s">
        <v>48</v>
      </c>
      <c r="AS6" s="181"/>
      <c r="AT6" s="181"/>
      <c r="AU6" s="181"/>
      <c r="AV6" s="181"/>
      <c r="AW6" s="32"/>
      <c r="AX6" s="180" t="s">
        <v>47</v>
      </c>
      <c r="AY6" s="181"/>
      <c r="AZ6" s="181"/>
      <c r="BA6" s="181"/>
      <c r="BB6" s="181"/>
      <c r="BC6" s="32"/>
      <c r="BD6" s="34" t="s">
        <v>32</v>
      </c>
      <c r="BE6" s="34" t="s">
        <v>59</v>
      </c>
      <c r="BF6" s="35" t="s">
        <v>52</v>
      </c>
      <c r="BG6" s="36" t="s">
        <v>53</v>
      </c>
      <c r="BH6" s="35" t="s">
        <v>54</v>
      </c>
      <c r="BI6" s="37" t="s">
        <v>55</v>
      </c>
      <c r="BJ6" s="38" t="s">
        <v>24</v>
      </c>
      <c r="BK6" s="198"/>
      <c r="BL6" s="39" t="s">
        <v>60</v>
      </c>
      <c r="BM6" s="25" t="s">
        <v>38</v>
      </c>
      <c r="BN6" s="25" t="s">
        <v>30</v>
      </c>
      <c r="BO6" s="31" t="s">
        <v>40</v>
      </c>
      <c r="BP6" s="182" t="s">
        <v>50</v>
      </c>
      <c r="BQ6" s="183"/>
      <c r="BR6" s="183"/>
      <c r="BS6" s="184"/>
      <c r="BT6" s="180" t="s">
        <v>43</v>
      </c>
      <c r="BU6" s="181"/>
      <c r="BV6" s="181"/>
      <c r="BW6" s="181"/>
      <c r="BX6" s="32"/>
      <c r="BY6" s="180" t="s">
        <v>42</v>
      </c>
      <c r="BZ6" s="181"/>
      <c r="CA6" s="181"/>
      <c r="CB6" s="181"/>
      <c r="CC6" s="32"/>
      <c r="CD6" s="34" t="s">
        <v>62</v>
      </c>
      <c r="CE6" s="40" t="s">
        <v>31</v>
      </c>
      <c r="CF6" s="41" t="s">
        <v>25</v>
      </c>
      <c r="CG6" s="7"/>
      <c r="CH6" s="7"/>
      <c r="CI6" s="7"/>
      <c r="CJ6" s="7"/>
      <c r="CK6" s="7"/>
      <c r="CL6" s="7"/>
      <c r="CM6" s="7"/>
      <c r="CN6" s="7"/>
      <c r="CO6" s="7"/>
      <c r="CP6" s="8"/>
      <c r="CQ6" s="8"/>
      <c r="CR6" s="8"/>
      <c r="CS6" s="8"/>
      <c r="CT6" s="8"/>
      <c r="CU6" s="9"/>
      <c r="CV6" s="10"/>
      <c r="CW6" s="9"/>
      <c r="CX6" s="10"/>
      <c r="CY6" s="9"/>
      <c r="CZ6" s="10"/>
      <c r="DA6" s="8"/>
      <c r="DB6" s="9"/>
      <c r="DC6" s="8"/>
      <c r="DD6" s="8"/>
      <c r="DE6" s="9"/>
      <c r="DF6" s="9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</row>
    <row r="7" spans="1:256" s="19" customFormat="1" ht="12" customHeight="1">
      <c r="A7" s="12"/>
      <c r="B7" s="12"/>
      <c r="C7" s="12"/>
      <c r="D7" s="12"/>
      <c r="E7" s="12"/>
      <c r="F7" s="42"/>
      <c r="G7" s="43"/>
      <c r="H7" s="43"/>
      <c r="I7" s="43"/>
      <c r="J7" s="44"/>
      <c r="K7" s="45"/>
      <c r="L7" s="44"/>
      <c r="M7" s="46"/>
      <c r="N7" s="47"/>
      <c r="O7" s="47"/>
      <c r="P7" s="48"/>
      <c r="Q7" s="189"/>
      <c r="R7" s="49"/>
      <c r="S7" s="50"/>
      <c r="T7" s="51"/>
      <c r="U7" s="51"/>
      <c r="V7" s="51"/>
      <c r="W7" s="50"/>
      <c r="X7" s="52" t="s">
        <v>14</v>
      </c>
      <c r="Y7" s="53" t="s">
        <v>21</v>
      </c>
      <c r="Z7" s="53" t="s">
        <v>13</v>
      </c>
      <c r="AA7" s="54" t="s">
        <v>4</v>
      </c>
      <c r="AB7" s="52" t="s">
        <v>14</v>
      </c>
      <c r="AC7" s="53" t="s">
        <v>21</v>
      </c>
      <c r="AD7" s="53" t="s">
        <v>13</v>
      </c>
      <c r="AE7" s="48" t="s">
        <v>4</v>
      </c>
      <c r="AF7" s="55"/>
      <c r="AG7" s="56" t="s">
        <v>14</v>
      </c>
      <c r="AH7" s="57" t="s">
        <v>21</v>
      </c>
      <c r="AI7" s="57" t="s">
        <v>13</v>
      </c>
      <c r="AJ7" s="58" t="s">
        <v>4</v>
      </c>
      <c r="AK7" s="59"/>
      <c r="AL7" s="60"/>
      <c r="AM7" s="52" t="s">
        <v>14</v>
      </c>
      <c r="AN7" s="53" t="s">
        <v>13</v>
      </c>
      <c r="AO7" s="53" t="s">
        <v>20</v>
      </c>
      <c r="AP7" s="53" t="s">
        <v>15</v>
      </c>
      <c r="AQ7" s="54" t="s">
        <v>4</v>
      </c>
      <c r="AR7" s="52" t="s">
        <v>14</v>
      </c>
      <c r="AS7" s="53" t="s">
        <v>13</v>
      </c>
      <c r="AT7" s="53" t="s">
        <v>20</v>
      </c>
      <c r="AU7" s="53" t="s">
        <v>15</v>
      </c>
      <c r="AV7" s="48" t="s">
        <v>4</v>
      </c>
      <c r="AW7" s="55"/>
      <c r="AX7" s="52" t="s">
        <v>14</v>
      </c>
      <c r="AY7" s="53" t="s">
        <v>13</v>
      </c>
      <c r="AZ7" s="53" t="s">
        <v>20</v>
      </c>
      <c r="BA7" s="53" t="s">
        <v>15</v>
      </c>
      <c r="BB7" s="48" t="s">
        <v>4</v>
      </c>
      <c r="BC7" s="55"/>
      <c r="BD7" s="60"/>
      <c r="BE7" s="60"/>
      <c r="BF7" s="61"/>
      <c r="BG7" s="62"/>
      <c r="BH7" s="61"/>
      <c r="BI7" s="63"/>
      <c r="BJ7" s="64"/>
      <c r="BK7" s="198"/>
      <c r="BL7" s="65"/>
      <c r="BM7" s="51"/>
      <c r="BN7" s="51"/>
      <c r="BO7" s="66"/>
      <c r="BP7" s="52" t="s">
        <v>14</v>
      </c>
      <c r="BQ7" s="67" t="s">
        <v>22</v>
      </c>
      <c r="BR7" s="53" t="s">
        <v>13</v>
      </c>
      <c r="BS7" s="68" t="s">
        <v>4</v>
      </c>
      <c r="BT7" s="52" t="s">
        <v>14</v>
      </c>
      <c r="BU7" s="67" t="s">
        <v>22</v>
      </c>
      <c r="BV7" s="53" t="s">
        <v>13</v>
      </c>
      <c r="BW7" s="69" t="s">
        <v>4</v>
      </c>
      <c r="BX7" s="70"/>
      <c r="BY7" s="52" t="s">
        <v>14</v>
      </c>
      <c r="BZ7" s="67" t="s">
        <v>22</v>
      </c>
      <c r="CA7" s="53" t="s">
        <v>13</v>
      </c>
      <c r="CB7" s="69" t="s">
        <v>4</v>
      </c>
      <c r="CC7" s="70"/>
      <c r="CD7" s="60"/>
      <c r="CE7" s="71"/>
      <c r="CF7" s="72"/>
      <c r="CG7" s="7"/>
      <c r="CH7" s="7"/>
      <c r="CI7" s="7"/>
      <c r="CJ7" s="7"/>
      <c r="CK7" s="7"/>
      <c r="CL7" s="7"/>
      <c r="CM7" s="7"/>
      <c r="CN7" s="7"/>
      <c r="CO7" s="7"/>
      <c r="CP7" s="8"/>
      <c r="CQ7" s="8"/>
      <c r="CR7" s="8"/>
      <c r="CS7" s="8"/>
      <c r="CT7" s="8"/>
      <c r="CU7" s="9"/>
      <c r="CV7" s="10"/>
      <c r="CW7" s="9"/>
      <c r="CX7" s="10"/>
      <c r="CY7" s="9"/>
      <c r="CZ7" s="10"/>
      <c r="DA7" s="8"/>
      <c r="DB7" s="9"/>
      <c r="DC7" s="8"/>
      <c r="DD7" s="8"/>
      <c r="DE7" s="9"/>
      <c r="DF7" s="9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</row>
    <row r="8" spans="1:256" s="19" customFormat="1" ht="13.5" customHeight="1" thickBot="1">
      <c r="A8" s="12"/>
      <c r="B8" s="12"/>
      <c r="C8" s="12"/>
      <c r="D8" s="12"/>
      <c r="E8" s="12"/>
      <c r="F8" s="73"/>
      <c r="G8" s="74"/>
      <c r="H8" s="75"/>
      <c r="I8" s="75"/>
      <c r="J8" s="76"/>
      <c r="K8" s="74"/>
      <c r="L8" s="76"/>
      <c r="M8" s="77"/>
      <c r="N8" s="74" t="s">
        <v>5</v>
      </c>
      <c r="O8" s="74" t="s">
        <v>18</v>
      </c>
      <c r="P8" s="78"/>
      <c r="Q8" s="190"/>
      <c r="R8" s="79" t="s">
        <v>7</v>
      </c>
      <c r="S8" s="80" t="s">
        <v>114</v>
      </c>
      <c r="T8" s="81" t="s">
        <v>8</v>
      </c>
      <c r="U8" s="81" t="s">
        <v>8</v>
      </c>
      <c r="V8" s="81" t="s">
        <v>8</v>
      </c>
      <c r="W8" s="82" t="s">
        <v>17</v>
      </c>
      <c r="X8" s="83"/>
      <c r="Y8" s="84" t="s">
        <v>28</v>
      </c>
      <c r="Z8" s="84" t="s">
        <v>29</v>
      </c>
      <c r="AA8" s="85" t="s">
        <v>17</v>
      </c>
      <c r="AB8" s="83"/>
      <c r="AC8" s="84" t="s">
        <v>28</v>
      </c>
      <c r="AD8" s="84" t="s">
        <v>29</v>
      </c>
      <c r="AE8" s="86" t="s">
        <v>17</v>
      </c>
      <c r="AF8" s="87"/>
      <c r="AG8" s="88"/>
      <c r="AH8" s="89" t="s">
        <v>28</v>
      </c>
      <c r="AI8" s="89" t="s">
        <v>29</v>
      </c>
      <c r="AJ8" s="89" t="s">
        <v>17</v>
      </c>
      <c r="AK8" s="90"/>
      <c r="AL8" s="91" t="s">
        <v>17</v>
      </c>
      <c r="AM8" s="92"/>
      <c r="AN8" s="84" t="s">
        <v>16</v>
      </c>
      <c r="AO8" s="84" t="s">
        <v>8</v>
      </c>
      <c r="AP8" s="84"/>
      <c r="AQ8" s="85" t="s">
        <v>17</v>
      </c>
      <c r="AR8" s="92"/>
      <c r="AS8" s="84" t="s">
        <v>16</v>
      </c>
      <c r="AT8" s="84" t="s">
        <v>8</v>
      </c>
      <c r="AU8" s="84"/>
      <c r="AV8" s="86" t="s">
        <v>17</v>
      </c>
      <c r="AW8" s="87"/>
      <c r="AX8" s="92"/>
      <c r="AY8" s="84" t="s">
        <v>16</v>
      </c>
      <c r="AZ8" s="84" t="s">
        <v>8</v>
      </c>
      <c r="BA8" s="84"/>
      <c r="BB8" s="86" t="s">
        <v>17</v>
      </c>
      <c r="BC8" s="87"/>
      <c r="BD8" s="91" t="s">
        <v>17</v>
      </c>
      <c r="BE8" s="91" t="s">
        <v>17</v>
      </c>
      <c r="BF8" s="93"/>
      <c r="BG8" s="94"/>
      <c r="BH8" s="93"/>
      <c r="BI8" s="95"/>
      <c r="BJ8" s="96"/>
      <c r="BK8" s="199"/>
      <c r="BL8" s="97" t="s">
        <v>7</v>
      </c>
      <c r="BM8" s="81" t="s">
        <v>8</v>
      </c>
      <c r="BN8" s="81" t="s">
        <v>8</v>
      </c>
      <c r="BO8" s="82" t="s">
        <v>17</v>
      </c>
      <c r="BP8" s="98"/>
      <c r="BQ8" s="84" t="s">
        <v>28</v>
      </c>
      <c r="BR8" s="84" t="s">
        <v>29</v>
      </c>
      <c r="BS8" s="85" t="s">
        <v>17</v>
      </c>
      <c r="BT8" s="98"/>
      <c r="BU8" s="84" t="s">
        <v>28</v>
      </c>
      <c r="BV8" s="84" t="s">
        <v>29</v>
      </c>
      <c r="BW8" s="86" t="s">
        <v>17</v>
      </c>
      <c r="BX8" s="87"/>
      <c r="BY8" s="98"/>
      <c r="BZ8" s="84" t="s">
        <v>28</v>
      </c>
      <c r="CA8" s="84" t="s">
        <v>29</v>
      </c>
      <c r="CB8" s="86" t="s">
        <v>17</v>
      </c>
      <c r="CC8" s="87"/>
      <c r="CD8" s="91" t="s">
        <v>17</v>
      </c>
      <c r="CE8" s="99"/>
      <c r="CF8" s="100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</row>
    <row r="9" spans="1:256" s="19" customFormat="1" ht="20.100000000000001" customHeight="1" thickBot="1">
      <c r="A9" s="12"/>
      <c r="B9" s="12"/>
      <c r="C9" s="12"/>
      <c r="D9" s="12"/>
      <c r="E9" s="12"/>
      <c r="F9" s="101" t="s">
        <v>51</v>
      </c>
      <c r="G9" s="102"/>
      <c r="H9" s="103"/>
      <c r="I9" s="103"/>
      <c r="J9" s="104"/>
      <c r="K9" s="102"/>
      <c r="L9" s="105"/>
      <c r="M9" s="105"/>
      <c r="N9" s="105">
        <f>SUBTOTAL(9,N11:N10000)</f>
        <v>3689</v>
      </c>
      <c r="O9" s="105">
        <f>SUBTOTAL(9,O11:O10000)</f>
        <v>11939.7</v>
      </c>
      <c r="P9" s="106"/>
      <c r="Q9" s="106"/>
      <c r="R9" s="106"/>
      <c r="S9" s="105"/>
      <c r="T9" s="105"/>
      <c r="U9" s="105">
        <f>SUBTOTAL(9,U11:U10000)</f>
        <v>0</v>
      </c>
      <c r="V9" s="105">
        <f>SUBTOTAL(9,V11:V10000)</f>
        <v>0</v>
      </c>
      <c r="W9" s="107">
        <f>SUBTOTAL(9,W11:W10000)</f>
        <v>120.55000000000007</v>
      </c>
      <c r="X9" s="108"/>
      <c r="Y9" s="109"/>
      <c r="Z9" s="110"/>
      <c r="AA9" s="109">
        <f>SUBTOTAL(9,AA11:AA10000)</f>
        <v>120.55000000000007</v>
      </c>
      <c r="AB9" s="108"/>
      <c r="AC9" s="109"/>
      <c r="AD9" s="108"/>
      <c r="AE9" s="107">
        <f>SUBTOTAL(9,AE11:AE10000)</f>
        <v>0</v>
      </c>
      <c r="AF9" s="108"/>
      <c r="AG9" s="108"/>
      <c r="AH9" s="109"/>
      <c r="AI9" s="111"/>
      <c r="AJ9" s="109">
        <f>SUBTOTAL(9,AJ11:AJ10000)</f>
        <v>0</v>
      </c>
      <c r="AK9" s="109"/>
      <c r="AL9" s="107">
        <f>SUBTOTAL(9,AL11:AL10000)</f>
        <v>120.55000000000007</v>
      </c>
      <c r="AM9" s="108"/>
      <c r="AN9" s="108"/>
      <c r="AO9" s="109"/>
      <c r="AP9" s="112"/>
      <c r="AQ9" s="109">
        <f>SUBTOTAL(9,AQ11:AQ10000)</f>
        <v>0</v>
      </c>
      <c r="AR9" s="108"/>
      <c r="AS9" s="108"/>
      <c r="AT9" s="109"/>
      <c r="AU9" s="108"/>
      <c r="AV9" s="107">
        <f>SUBTOTAL(9,AV11:AV10000)</f>
        <v>0</v>
      </c>
      <c r="AW9" s="108"/>
      <c r="AX9" s="108"/>
      <c r="AY9" s="108"/>
      <c r="AZ9" s="109"/>
      <c r="BA9" s="108"/>
      <c r="BB9" s="109">
        <f>SUBTOTAL(9,BB11:BB10000)</f>
        <v>0</v>
      </c>
      <c r="BC9" s="109"/>
      <c r="BD9" s="107">
        <f>SUBTOTAL(9,BD11:BD10000)</f>
        <v>0</v>
      </c>
      <c r="BE9" s="107">
        <f>SUBTOTAL(9,BE11:BE10000)</f>
        <v>120.55000000000007</v>
      </c>
      <c r="BF9" s="113"/>
      <c r="BG9" s="113"/>
      <c r="BH9" s="106"/>
      <c r="BI9" s="106"/>
      <c r="BJ9" s="106"/>
      <c r="BK9" s="106"/>
      <c r="BL9" s="114"/>
      <c r="BM9" s="109"/>
      <c r="BN9" s="105">
        <f>SUBTOTAL(9,BN11:BN10000)</f>
        <v>0</v>
      </c>
      <c r="BO9" s="107">
        <f>SUBTOTAL(9,BO11:BO10000)</f>
        <v>94.230000000000061</v>
      </c>
      <c r="BP9" s="108"/>
      <c r="BQ9" s="109"/>
      <c r="BR9" s="108"/>
      <c r="BS9" s="109">
        <f>SUBTOTAL(9,BS11:BS10000)</f>
        <v>93.54000000000002</v>
      </c>
      <c r="BT9" s="108"/>
      <c r="BU9" s="109"/>
      <c r="BV9" s="108"/>
      <c r="BW9" s="107">
        <f>SUBTOTAL(9,BW11:BW10000)</f>
        <v>0</v>
      </c>
      <c r="BX9" s="108"/>
      <c r="BY9" s="108"/>
      <c r="BZ9" s="109"/>
      <c r="CA9" s="108"/>
      <c r="CB9" s="107">
        <f>SUBTOTAL(9,CB11:CB10000)</f>
        <v>0</v>
      </c>
      <c r="CC9" s="109"/>
      <c r="CD9" s="109">
        <f ca="1">SUBTOTAL(9,INDIRECT("GI11:GI"&amp;(_xlfn.XMATCH("",CD11:CD10000,1)+9)))</f>
        <v>0</v>
      </c>
      <c r="CE9" s="115"/>
      <c r="CF9" s="116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</row>
    <row r="10" spans="1:256" s="125" customFormat="1" ht="13.5" customHeight="1" thickBot="1">
      <c r="A10" s="117"/>
      <c r="B10" s="117"/>
      <c r="C10" s="117"/>
      <c r="D10" s="117"/>
      <c r="E10" s="117"/>
      <c r="F10" s="117"/>
      <c r="G10" s="118"/>
      <c r="H10" s="119"/>
      <c r="I10" s="119"/>
      <c r="J10" s="120"/>
      <c r="K10" s="120"/>
      <c r="L10" s="120"/>
      <c r="M10" s="120"/>
      <c r="N10" s="118"/>
      <c r="O10" s="118"/>
      <c r="P10" s="120"/>
      <c r="Q10" s="120"/>
      <c r="R10" s="120"/>
      <c r="S10" s="120"/>
      <c r="T10" s="120"/>
      <c r="U10" s="120"/>
      <c r="V10" s="120"/>
      <c r="W10" s="120"/>
      <c r="X10" s="121"/>
      <c r="Y10" s="121"/>
      <c r="Z10" s="121"/>
      <c r="AA10" s="121"/>
      <c r="AB10" s="121"/>
      <c r="AC10" s="121"/>
      <c r="AD10" s="121"/>
      <c r="AE10" s="178"/>
      <c r="AF10" s="178"/>
      <c r="AG10" s="121"/>
      <c r="AH10" s="121"/>
      <c r="AI10" s="121"/>
      <c r="AJ10" s="179"/>
      <c r="AK10" s="179"/>
      <c r="AL10" s="120"/>
      <c r="AM10" s="121"/>
      <c r="AN10" s="121"/>
      <c r="AO10" s="121"/>
      <c r="AP10" s="121"/>
      <c r="AQ10" s="121"/>
      <c r="AR10" s="121"/>
      <c r="AS10" s="121"/>
      <c r="AT10" s="121"/>
      <c r="AU10" s="121"/>
      <c r="AV10" s="178"/>
      <c r="AW10" s="178"/>
      <c r="AX10" s="121"/>
      <c r="AY10" s="121"/>
      <c r="AZ10" s="121"/>
      <c r="BA10" s="121"/>
      <c r="BB10" s="179"/>
      <c r="BC10" s="179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1"/>
      <c r="BQ10" s="121"/>
      <c r="BR10" s="121"/>
      <c r="BS10" s="121"/>
      <c r="BT10" s="121"/>
      <c r="BU10" s="121"/>
      <c r="BV10" s="121"/>
      <c r="BW10" s="178"/>
      <c r="BX10" s="178"/>
      <c r="BY10" s="121"/>
      <c r="BZ10" s="121"/>
      <c r="CA10" s="121"/>
      <c r="CB10" s="178"/>
      <c r="CC10" s="178"/>
      <c r="CD10" s="120"/>
      <c r="CE10" s="120"/>
      <c r="CF10" s="122"/>
      <c r="CG10" s="123"/>
      <c r="CH10" s="123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</row>
    <row r="11" spans="1:256" ht="12.3">
      <c r="A11" s="128" t="s">
        <v>477</v>
      </c>
      <c r="B11" s="129">
        <v>4000</v>
      </c>
      <c r="C11" s="129">
        <v>42827</v>
      </c>
      <c r="D11" s="129"/>
      <c r="E11" s="129"/>
      <c r="F11" s="130"/>
      <c r="G11" s="131" t="s">
        <v>166</v>
      </c>
      <c r="H11" s="131" t="s">
        <v>120</v>
      </c>
      <c r="I11" s="131" t="s">
        <v>120</v>
      </c>
      <c r="J11" s="131" t="s">
        <v>478</v>
      </c>
      <c r="K11" s="131" t="s">
        <v>479</v>
      </c>
      <c r="L11" s="177">
        <v>5</v>
      </c>
      <c r="M11" s="131" t="str">
        <f>_xlfn.XLOOKUP(L11,[1]Auslegungsgrundlagen!$A$9:$A$100,[1]Auslegungsgrundlagen!$B$9:$B$100)</f>
        <v>Robotik</v>
      </c>
      <c r="N11" s="132">
        <v>97</v>
      </c>
      <c r="O11" s="132">
        <v>362.93</v>
      </c>
      <c r="P11" s="133">
        <v>0</v>
      </c>
      <c r="Q11" s="134"/>
      <c r="R11" s="135">
        <f>_xlfn.XLOOKUP(L11,[1]Auslegungsgrundlagen!$A$9:$A$100,[1]Auslegungsgrundlagen!$M$9:$M$100)</f>
        <v>50</v>
      </c>
      <c r="S11" s="136">
        <f>_xlfn.XLOOKUP(L11,[1]Auslegungsgrundlagen!$A$9:$A$100,[1]Auslegungsgrundlagen!$Q$9:$Q$100)*P11</f>
        <v>0</v>
      </c>
      <c r="T11" s="137">
        <v>0</v>
      </c>
      <c r="U11" s="137">
        <v>0</v>
      </c>
      <c r="V11" s="138">
        <v>0</v>
      </c>
      <c r="W11" s="139">
        <f t="shared" ref="W11:W42" si="0">ROUND(IF(V11&lt;0,V11*(-1)/1000,IF(U11&lt;&gt;0,U11/1000,(R11*N11+S11+T11)/1000)),2)</f>
        <v>4.8499999999999996</v>
      </c>
      <c r="X11" s="140" t="s">
        <v>481</v>
      </c>
      <c r="Y11" s="137">
        <f>W11*1000</f>
        <v>4850</v>
      </c>
      <c r="Z11" s="141">
        <v>1</v>
      </c>
      <c r="AA11" s="142">
        <f t="shared" ref="AA11:AA42" si="1">(IF(Y11="",0,Y11)*IF(Z11="",0,Z11))/1000</f>
        <v>4.8499999999999996</v>
      </c>
      <c r="AB11" s="140" t="s">
        <v>120</v>
      </c>
      <c r="AC11" s="143" t="s">
        <v>120</v>
      </c>
      <c r="AD11" s="144">
        <v>0</v>
      </c>
      <c r="AE11" s="145">
        <f t="shared" ref="AE11:AE42" si="2">(IF(AC11="",0,AC11)*IF(AD11="",0,AD11))/1000</f>
        <v>0</v>
      </c>
      <c r="AF11" s="146"/>
      <c r="AG11" s="140" t="s">
        <v>120</v>
      </c>
      <c r="AH11" s="143" t="s">
        <v>120</v>
      </c>
      <c r="AI11" s="144">
        <v>0</v>
      </c>
      <c r="AJ11" s="145">
        <f t="shared" ref="AJ11:AJ42" si="3">(IF(AH11="",0,AH11)*IF(AI11="",0,AI11))/1000</f>
        <v>0</v>
      </c>
      <c r="AK11" s="146"/>
      <c r="AL11" s="147">
        <f t="shared" ref="AL11:AL42" si="4">IF(AA11="",0,AA11)+IF(AE11="",0,AE11)+IF(AJ11="",0,AJ11)</f>
        <v>4.8499999999999996</v>
      </c>
      <c r="AM11" s="140" t="s">
        <v>120</v>
      </c>
      <c r="AN11" s="143" t="s">
        <v>120</v>
      </c>
      <c r="AO11" s="144">
        <v>0</v>
      </c>
      <c r="AP11" s="148">
        <v>0</v>
      </c>
      <c r="AQ11" s="142">
        <f t="shared" ref="AQ11:AQ42" si="5">(IF(AN11="",0,AN11)*IF(AO11="",0,AO11)*IF(AP11="",0,AP11))/1000</f>
        <v>0</v>
      </c>
      <c r="AR11" s="140" t="s">
        <v>120</v>
      </c>
      <c r="AS11" s="143" t="s">
        <v>120</v>
      </c>
      <c r="AT11" s="144">
        <v>0</v>
      </c>
      <c r="AU11" s="149">
        <v>0</v>
      </c>
      <c r="AV11" s="145">
        <f t="shared" ref="AV11:AV42" si="6">(IF(AS11="",0,AS11)*IF(AT11="",0,AT11)*IF(AU11="",0,AU11))/1000</f>
        <v>0</v>
      </c>
      <c r="AW11" s="146"/>
      <c r="AX11" s="140" t="s">
        <v>120</v>
      </c>
      <c r="AY11" s="143" t="s">
        <v>120</v>
      </c>
      <c r="AZ11" s="144">
        <v>0</v>
      </c>
      <c r="BA11" s="149">
        <v>0</v>
      </c>
      <c r="BB11" s="145">
        <f t="shared" ref="BB11:BB42" si="7">(IF(AY11="",0,AY11)*IF(AZ11="",0,AZ11)*IF(BA11="",0,BA11))/1000</f>
        <v>0</v>
      </c>
      <c r="BC11" s="150"/>
      <c r="BD11" s="151">
        <f t="shared" ref="BD11:BD42" si="8">IF(AQ11="",0,AQ11)+IF(AV11="",0,AV11)+IF(BB11="",0,BB11)</f>
        <v>0</v>
      </c>
      <c r="BE11" s="152">
        <f t="shared" ref="BE11:BE42" si="9">(BD11+AL11)</f>
        <v>4.8499999999999996</v>
      </c>
      <c r="BF11" s="140" t="s">
        <v>120</v>
      </c>
      <c r="BG11" s="153" t="s">
        <v>120</v>
      </c>
      <c r="BH11" s="154" t="s">
        <v>120</v>
      </c>
      <c r="BI11" s="155" t="s">
        <v>120</v>
      </c>
      <c r="BJ11" s="156" t="s">
        <v>120</v>
      </c>
      <c r="BK11" s="157"/>
      <c r="BL11" s="158">
        <f>_xlfn.XLOOKUP(L11,[1]Auslegungsgrundlagen!$A$9:$A$100,[1]Auslegungsgrundlagen!$U$9:$U$100)</f>
        <v>40</v>
      </c>
      <c r="BM11" s="137">
        <v>0</v>
      </c>
      <c r="BN11" s="159">
        <v>0</v>
      </c>
      <c r="BO11" s="152">
        <f t="shared" ref="BO11:BO42" si="10">ROUND(IF(BN11&gt;0,BN11/1000,IF(BM11&gt;0,BM11/1000,BL11*N11/1000)),2)</f>
        <v>3.88</v>
      </c>
      <c r="BP11" s="140" t="s">
        <v>481</v>
      </c>
      <c r="BQ11" s="143">
        <f>BO11*1000</f>
        <v>3880</v>
      </c>
      <c r="BR11" s="160">
        <v>1</v>
      </c>
      <c r="BS11" s="142">
        <f t="shared" ref="BS11:BS42" si="11">(IF(BQ11="",0,BQ11)*IF(BR11="",0,BR11))/1000</f>
        <v>3.88</v>
      </c>
      <c r="BT11" s="140" t="s">
        <v>120</v>
      </c>
      <c r="BU11" s="143" t="s">
        <v>120</v>
      </c>
      <c r="BV11" s="160">
        <v>0</v>
      </c>
      <c r="BW11" s="145">
        <f t="shared" ref="BW11:BW42" si="12">(IF(BU11="",0,BU11)*IF(BV11="",0,BV11))/1000</f>
        <v>0</v>
      </c>
      <c r="BX11" s="146"/>
      <c r="BY11" s="140" t="s">
        <v>120</v>
      </c>
      <c r="BZ11" s="143" t="s">
        <v>120</v>
      </c>
      <c r="CA11" s="160">
        <v>0</v>
      </c>
      <c r="CB11" s="145">
        <f t="shared" ref="CB11:CB42" si="13">(IF(BZ11="",0,BZ11)*IF(CA11="",0,CA11))/1000</f>
        <v>0</v>
      </c>
      <c r="CC11" s="146"/>
      <c r="CD11" s="151">
        <f t="shared" ref="CD11:CD42" si="14">IF(BS11="",0,BS11)+IF(BW11="",0,BW11)+IF(CB11="",0,CB11)</f>
        <v>3.88</v>
      </c>
      <c r="CE11" s="161" t="s">
        <v>120</v>
      </c>
      <c r="CF11" s="162" t="s">
        <v>120</v>
      </c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ht="12.3">
      <c r="A12" s="128" t="s">
        <v>204</v>
      </c>
      <c r="B12" s="129">
        <v>4000</v>
      </c>
      <c r="C12" s="129">
        <v>42817</v>
      </c>
      <c r="D12" s="129"/>
      <c r="E12" s="129"/>
      <c r="F12" s="130"/>
      <c r="G12" s="131" t="s">
        <v>166</v>
      </c>
      <c r="H12" s="131" t="s">
        <v>120</v>
      </c>
      <c r="I12" s="131" t="s">
        <v>120</v>
      </c>
      <c r="J12" s="131" t="s">
        <v>205</v>
      </c>
      <c r="K12" s="131" t="s">
        <v>206</v>
      </c>
      <c r="L12" s="177">
        <v>4</v>
      </c>
      <c r="M12" s="131" t="str">
        <f>_xlfn.XLOOKUP(L12,[1]Auslegungsgrundlagen!$A$9:$A$100,[1]Auslegungsgrundlagen!$B$9:$B$100)</f>
        <v>Smart Farming</v>
      </c>
      <c r="N12" s="132">
        <v>98</v>
      </c>
      <c r="O12" s="132">
        <v>366.54</v>
      </c>
      <c r="P12" s="133">
        <v>0</v>
      </c>
      <c r="Q12" s="134"/>
      <c r="R12" s="135">
        <f>_xlfn.XLOOKUP(L12,[1]Auslegungsgrundlagen!$A$9:$A$100,[1]Auslegungsgrundlagen!$M$9:$M$100)</f>
        <v>50</v>
      </c>
      <c r="S12" s="136">
        <f>_xlfn.XLOOKUP(L12,[1]Auslegungsgrundlagen!$A$9:$A$100,[1]Auslegungsgrundlagen!$Q$9:$Q$100)*P12</f>
        <v>0</v>
      </c>
      <c r="T12" s="137">
        <v>0</v>
      </c>
      <c r="U12" s="137">
        <v>0</v>
      </c>
      <c r="V12" s="138">
        <v>0</v>
      </c>
      <c r="W12" s="139">
        <f t="shared" si="0"/>
        <v>4.9000000000000004</v>
      </c>
      <c r="X12" s="140" t="s">
        <v>481</v>
      </c>
      <c r="Y12" s="137">
        <f t="shared" ref="Y12:Y16" si="15">W12*1000</f>
        <v>4900</v>
      </c>
      <c r="Z12" s="141">
        <v>1</v>
      </c>
      <c r="AA12" s="142">
        <f t="shared" si="1"/>
        <v>4.9000000000000004</v>
      </c>
      <c r="AB12" s="140" t="s">
        <v>120</v>
      </c>
      <c r="AC12" s="143" t="s">
        <v>120</v>
      </c>
      <c r="AD12" s="144">
        <v>0</v>
      </c>
      <c r="AE12" s="145">
        <f t="shared" si="2"/>
        <v>0</v>
      </c>
      <c r="AF12" s="146"/>
      <c r="AG12" s="140" t="s">
        <v>120</v>
      </c>
      <c r="AH12" s="143" t="s">
        <v>120</v>
      </c>
      <c r="AI12" s="144">
        <v>0</v>
      </c>
      <c r="AJ12" s="145">
        <f t="shared" si="3"/>
        <v>0</v>
      </c>
      <c r="AK12" s="146"/>
      <c r="AL12" s="147">
        <f t="shared" si="4"/>
        <v>4.9000000000000004</v>
      </c>
      <c r="AM12" s="140" t="s">
        <v>120</v>
      </c>
      <c r="AN12" s="143" t="s">
        <v>120</v>
      </c>
      <c r="AO12" s="144">
        <v>0</v>
      </c>
      <c r="AP12" s="148">
        <v>0</v>
      </c>
      <c r="AQ12" s="142">
        <f t="shared" si="5"/>
        <v>0</v>
      </c>
      <c r="AR12" s="140" t="s">
        <v>120</v>
      </c>
      <c r="AS12" s="143" t="s">
        <v>120</v>
      </c>
      <c r="AT12" s="144">
        <v>0</v>
      </c>
      <c r="AU12" s="149">
        <v>0</v>
      </c>
      <c r="AV12" s="145">
        <f t="shared" si="6"/>
        <v>0</v>
      </c>
      <c r="AW12" s="146"/>
      <c r="AX12" s="140" t="s">
        <v>120</v>
      </c>
      <c r="AY12" s="143" t="s">
        <v>120</v>
      </c>
      <c r="AZ12" s="144">
        <v>0</v>
      </c>
      <c r="BA12" s="149">
        <v>0</v>
      </c>
      <c r="BB12" s="145">
        <f t="shared" si="7"/>
        <v>0</v>
      </c>
      <c r="BC12" s="150"/>
      <c r="BD12" s="151">
        <f t="shared" si="8"/>
        <v>0</v>
      </c>
      <c r="BE12" s="152">
        <f t="shared" si="9"/>
        <v>4.9000000000000004</v>
      </c>
      <c r="BF12" s="140" t="s">
        <v>120</v>
      </c>
      <c r="BG12" s="153" t="s">
        <v>120</v>
      </c>
      <c r="BH12" s="154" t="s">
        <v>120</v>
      </c>
      <c r="BI12" s="155" t="s">
        <v>120</v>
      </c>
      <c r="BJ12" s="156" t="s">
        <v>120</v>
      </c>
      <c r="BK12" s="157"/>
      <c r="BL12" s="158">
        <f>_xlfn.XLOOKUP(L12,[1]Auslegungsgrundlagen!$A$9:$A$100,[1]Auslegungsgrundlagen!$U$9:$U$100)</f>
        <v>40</v>
      </c>
      <c r="BM12" s="137">
        <v>0</v>
      </c>
      <c r="BN12" s="159">
        <v>0</v>
      </c>
      <c r="BO12" s="152">
        <f t="shared" si="10"/>
        <v>3.92</v>
      </c>
      <c r="BP12" s="140" t="s">
        <v>481</v>
      </c>
      <c r="BQ12" s="143">
        <f t="shared" ref="BQ12:BQ16" si="16">BO12*1000</f>
        <v>3920</v>
      </c>
      <c r="BR12" s="160">
        <v>1</v>
      </c>
      <c r="BS12" s="142">
        <f t="shared" si="11"/>
        <v>3.92</v>
      </c>
      <c r="BT12" s="140" t="s">
        <v>120</v>
      </c>
      <c r="BU12" s="143" t="s">
        <v>120</v>
      </c>
      <c r="BV12" s="160">
        <v>0</v>
      </c>
      <c r="BW12" s="145">
        <f t="shared" si="12"/>
        <v>0</v>
      </c>
      <c r="BX12" s="146"/>
      <c r="BY12" s="140" t="s">
        <v>120</v>
      </c>
      <c r="BZ12" s="143" t="s">
        <v>120</v>
      </c>
      <c r="CA12" s="160">
        <v>0</v>
      </c>
      <c r="CB12" s="145">
        <f t="shared" si="13"/>
        <v>0</v>
      </c>
      <c r="CC12" s="146"/>
      <c r="CD12" s="151">
        <f t="shared" si="14"/>
        <v>3.92</v>
      </c>
      <c r="CE12" s="161" t="s">
        <v>120</v>
      </c>
      <c r="CF12" s="162" t="s">
        <v>120</v>
      </c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ht="12.3">
      <c r="A13" s="128" t="s">
        <v>192</v>
      </c>
      <c r="B13" s="129">
        <v>4000</v>
      </c>
      <c r="C13" s="129">
        <v>16530</v>
      </c>
      <c r="D13" s="129"/>
      <c r="E13" s="129"/>
      <c r="F13" s="130"/>
      <c r="G13" s="131" t="s">
        <v>166</v>
      </c>
      <c r="H13" s="131" t="s">
        <v>120</v>
      </c>
      <c r="I13" s="131" t="s">
        <v>120</v>
      </c>
      <c r="J13" s="131" t="s">
        <v>193</v>
      </c>
      <c r="K13" s="131" t="s">
        <v>194</v>
      </c>
      <c r="L13" s="177">
        <v>2</v>
      </c>
      <c r="M13" s="131" t="str">
        <f>_xlfn.XLOOKUP(L13,[1]Auslegungsgrundlagen!$A$9:$A$100,[1]Auslegungsgrundlagen!$B$9:$B$100)</f>
        <v>Einzel-/Zweierbüros</v>
      </c>
      <c r="N13" s="132">
        <v>17</v>
      </c>
      <c r="O13" s="132">
        <v>63.93</v>
      </c>
      <c r="P13" s="133">
        <v>0</v>
      </c>
      <c r="Q13" s="134"/>
      <c r="R13" s="135">
        <f>_xlfn.XLOOKUP(L13,[1]Auslegungsgrundlagen!$A$9:$A$100,[1]Auslegungsgrundlagen!$M$9:$M$100)</f>
        <v>50</v>
      </c>
      <c r="S13" s="136">
        <f>_xlfn.XLOOKUP(L13,[1]Auslegungsgrundlagen!$A$9:$A$100,[1]Auslegungsgrundlagen!$Q$9:$Q$100)*P13</f>
        <v>0</v>
      </c>
      <c r="T13" s="137">
        <v>0</v>
      </c>
      <c r="U13" s="137">
        <v>0</v>
      </c>
      <c r="V13" s="138">
        <v>0</v>
      </c>
      <c r="W13" s="139">
        <f t="shared" si="0"/>
        <v>0.85</v>
      </c>
      <c r="X13" s="140" t="s">
        <v>481</v>
      </c>
      <c r="Y13" s="137">
        <f t="shared" si="15"/>
        <v>850</v>
      </c>
      <c r="Z13" s="141">
        <v>1</v>
      </c>
      <c r="AA13" s="142">
        <f t="shared" si="1"/>
        <v>0.85</v>
      </c>
      <c r="AB13" s="140" t="s">
        <v>120</v>
      </c>
      <c r="AC13" s="143" t="s">
        <v>120</v>
      </c>
      <c r="AD13" s="144">
        <v>0</v>
      </c>
      <c r="AE13" s="145">
        <f t="shared" si="2"/>
        <v>0</v>
      </c>
      <c r="AF13" s="146"/>
      <c r="AG13" s="140" t="s">
        <v>120</v>
      </c>
      <c r="AH13" s="143" t="s">
        <v>120</v>
      </c>
      <c r="AI13" s="144">
        <v>0</v>
      </c>
      <c r="AJ13" s="145">
        <f t="shared" si="3"/>
        <v>0</v>
      </c>
      <c r="AK13" s="146"/>
      <c r="AL13" s="147">
        <f t="shared" si="4"/>
        <v>0.85</v>
      </c>
      <c r="AM13" s="140" t="s">
        <v>120</v>
      </c>
      <c r="AN13" s="143" t="s">
        <v>120</v>
      </c>
      <c r="AO13" s="144">
        <v>0</v>
      </c>
      <c r="AP13" s="148">
        <v>0</v>
      </c>
      <c r="AQ13" s="142">
        <f t="shared" si="5"/>
        <v>0</v>
      </c>
      <c r="AR13" s="140" t="s">
        <v>120</v>
      </c>
      <c r="AS13" s="143" t="s">
        <v>120</v>
      </c>
      <c r="AT13" s="144">
        <v>0</v>
      </c>
      <c r="AU13" s="149">
        <v>0</v>
      </c>
      <c r="AV13" s="145">
        <f t="shared" si="6"/>
        <v>0</v>
      </c>
      <c r="AW13" s="146"/>
      <c r="AX13" s="140" t="s">
        <v>120</v>
      </c>
      <c r="AY13" s="143" t="s">
        <v>120</v>
      </c>
      <c r="AZ13" s="144">
        <v>0</v>
      </c>
      <c r="BA13" s="149">
        <v>0</v>
      </c>
      <c r="BB13" s="145">
        <f t="shared" si="7"/>
        <v>0</v>
      </c>
      <c r="BC13" s="150"/>
      <c r="BD13" s="151">
        <f t="shared" si="8"/>
        <v>0</v>
      </c>
      <c r="BE13" s="152">
        <f t="shared" si="9"/>
        <v>0.85</v>
      </c>
      <c r="BF13" s="140" t="s">
        <v>120</v>
      </c>
      <c r="BG13" s="153" t="s">
        <v>120</v>
      </c>
      <c r="BH13" s="154" t="s">
        <v>120</v>
      </c>
      <c r="BI13" s="155" t="s">
        <v>120</v>
      </c>
      <c r="BJ13" s="156" t="s">
        <v>120</v>
      </c>
      <c r="BK13" s="157"/>
      <c r="BL13" s="158">
        <f>_xlfn.XLOOKUP(L13,[1]Auslegungsgrundlagen!$A$9:$A$100,[1]Auslegungsgrundlagen!$U$9:$U$100)</f>
        <v>40</v>
      </c>
      <c r="BM13" s="137">
        <v>0</v>
      </c>
      <c r="BN13" s="159">
        <v>0</v>
      </c>
      <c r="BO13" s="152">
        <f t="shared" si="10"/>
        <v>0.68</v>
      </c>
      <c r="BP13" s="140" t="s">
        <v>481</v>
      </c>
      <c r="BQ13" s="143">
        <f t="shared" si="16"/>
        <v>680</v>
      </c>
      <c r="BR13" s="160">
        <v>1</v>
      </c>
      <c r="BS13" s="142">
        <f t="shared" si="11"/>
        <v>0.68</v>
      </c>
      <c r="BT13" s="140" t="s">
        <v>120</v>
      </c>
      <c r="BU13" s="143" t="s">
        <v>120</v>
      </c>
      <c r="BV13" s="160">
        <v>0</v>
      </c>
      <c r="BW13" s="145">
        <f t="shared" si="12"/>
        <v>0</v>
      </c>
      <c r="BX13" s="146"/>
      <c r="BY13" s="140" t="s">
        <v>120</v>
      </c>
      <c r="BZ13" s="143" t="s">
        <v>120</v>
      </c>
      <c r="CA13" s="160">
        <v>0</v>
      </c>
      <c r="CB13" s="145">
        <f t="shared" si="13"/>
        <v>0</v>
      </c>
      <c r="CC13" s="146"/>
      <c r="CD13" s="151">
        <f t="shared" si="14"/>
        <v>0.68</v>
      </c>
      <c r="CE13" s="161" t="s">
        <v>120</v>
      </c>
      <c r="CF13" s="162" t="s">
        <v>120</v>
      </c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ht="12.3">
      <c r="A14" s="128" t="s">
        <v>195</v>
      </c>
      <c r="B14" s="129">
        <v>4000</v>
      </c>
      <c r="C14" s="129">
        <v>12130</v>
      </c>
      <c r="D14" s="129"/>
      <c r="E14" s="129"/>
      <c r="F14" s="130"/>
      <c r="G14" s="131" t="s">
        <v>166</v>
      </c>
      <c r="H14" s="131" t="s">
        <v>120</v>
      </c>
      <c r="I14" s="131" t="s">
        <v>120</v>
      </c>
      <c r="J14" s="131" t="s">
        <v>196</v>
      </c>
      <c r="K14" s="131" t="s">
        <v>197</v>
      </c>
      <c r="L14" s="177">
        <v>2</v>
      </c>
      <c r="M14" s="131" t="str">
        <f>_xlfn.XLOOKUP(L14,[1]Auslegungsgrundlagen!$A$9:$A$100,[1]Auslegungsgrundlagen!$B$9:$B$100)</f>
        <v>Einzel-/Zweierbüros</v>
      </c>
      <c r="N14" s="132">
        <v>8</v>
      </c>
      <c r="O14" s="132">
        <v>31.23</v>
      </c>
      <c r="P14" s="133">
        <v>0</v>
      </c>
      <c r="Q14" s="134"/>
      <c r="R14" s="135">
        <f>_xlfn.XLOOKUP(L14,[1]Auslegungsgrundlagen!$A$9:$A$100,[1]Auslegungsgrundlagen!$M$9:$M$100)</f>
        <v>50</v>
      </c>
      <c r="S14" s="136">
        <f>_xlfn.XLOOKUP(L14,[1]Auslegungsgrundlagen!$A$9:$A$100,[1]Auslegungsgrundlagen!$Q$9:$Q$100)*P14</f>
        <v>0</v>
      </c>
      <c r="T14" s="137">
        <v>0</v>
      </c>
      <c r="U14" s="137">
        <v>0</v>
      </c>
      <c r="V14" s="138">
        <v>0</v>
      </c>
      <c r="W14" s="139">
        <f t="shared" si="0"/>
        <v>0.4</v>
      </c>
      <c r="X14" s="140" t="s">
        <v>481</v>
      </c>
      <c r="Y14" s="137">
        <f t="shared" si="15"/>
        <v>400</v>
      </c>
      <c r="Z14" s="141">
        <v>1</v>
      </c>
      <c r="AA14" s="142">
        <f t="shared" si="1"/>
        <v>0.4</v>
      </c>
      <c r="AB14" s="140" t="s">
        <v>120</v>
      </c>
      <c r="AC14" s="143" t="s">
        <v>120</v>
      </c>
      <c r="AD14" s="144">
        <v>0</v>
      </c>
      <c r="AE14" s="145">
        <f t="shared" si="2"/>
        <v>0</v>
      </c>
      <c r="AF14" s="146"/>
      <c r="AG14" s="140" t="s">
        <v>120</v>
      </c>
      <c r="AH14" s="143" t="s">
        <v>120</v>
      </c>
      <c r="AI14" s="144">
        <v>0</v>
      </c>
      <c r="AJ14" s="145">
        <f t="shared" si="3"/>
        <v>0</v>
      </c>
      <c r="AK14" s="146"/>
      <c r="AL14" s="147">
        <f t="shared" si="4"/>
        <v>0.4</v>
      </c>
      <c r="AM14" s="140" t="s">
        <v>120</v>
      </c>
      <c r="AN14" s="143" t="s">
        <v>120</v>
      </c>
      <c r="AO14" s="144">
        <v>0</v>
      </c>
      <c r="AP14" s="148">
        <v>0</v>
      </c>
      <c r="AQ14" s="142">
        <f t="shared" si="5"/>
        <v>0</v>
      </c>
      <c r="AR14" s="140" t="s">
        <v>120</v>
      </c>
      <c r="AS14" s="143" t="s">
        <v>120</v>
      </c>
      <c r="AT14" s="144">
        <v>0</v>
      </c>
      <c r="AU14" s="149">
        <v>0</v>
      </c>
      <c r="AV14" s="145">
        <f t="shared" si="6"/>
        <v>0</v>
      </c>
      <c r="AW14" s="146"/>
      <c r="AX14" s="140" t="s">
        <v>120</v>
      </c>
      <c r="AY14" s="143" t="s">
        <v>120</v>
      </c>
      <c r="AZ14" s="144">
        <v>0</v>
      </c>
      <c r="BA14" s="149">
        <v>0</v>
      </c>
      <c r="BB14" s="145">
        <f t="shared" si="7"/>
        <v>0</v>
      </c>
      <c r="BC14" s="150"/>
      <c r="BD14" s="151">
        <f t="shared" si="8"/>
        <v>0</v>
      </c>
      <c r="BE14" s="152">
        <f t="shared" si="9"/>
        <v>0.4</v>
      </c>
      <c r="BF14" s="140" t="s">
        <v>120</v>
      </c>
      <c r="BG14" s="153" t="s">
        <v>120</v>
      </c>
      <c r="BH14" s="154" t="s">
        <v>120</v>
      </c>
      <c r="BI14" s="155" t="s">
        <v>120</v>
      </c>
      <c r="BJ14" s="156" t="s">
        <v>120</v>
      </c>
      <c r="BK14" s="157"/>
      <c r="BL14" s="158">
        <f>_xlfn.XLOOKUP(L14,[1]Auslegungsgrundlagen!$A$9:$A$100,[1]Auslegungsgrundlagen!$U$9:$U$100)</f>
        <v>40</v>
      </c>
      <c r="BM14" s="137">
        <v>0</v>
      </c>
      <c r="BN14" s="159">
        <v>0</v>
      </c>
      <c r="BO14" s="152">
        <f t="shared" si="10"/>
        <v>0.32</v>
      </c>
      <c r="BP14" s="140" t="s">
        <v>481</v>
      </c>
      <c r="BQ14" s="143">
        <f t="shared" si="16"/>
        <v>320</v>
      </c>
      <c r="BR14" s="160">
        <v>1</v>
      </c>
      <c r="BS14" s="142">
        <f t="shared" si="11"/>
        <v>0.32</v>
      </c>
      <c r="BT14" s="140" t="s">
        <v>120</v>
      </c>
      <c r="BU14" s="143" t="s">
        <v>120</v>
      </c>
      <c r="BV14" s="160">
        <v>0</v>
      </c>
      <c r="BW14" s="145">
        <f t="shared" si="12"/>
        <v>0</v>
      </c>
      <c r="BX14" s="146"/>
      <c r="BY14" s="140" t="s">
        <v>120</v>
      </c>
      <c r="BZ14" s="143" t="s">
        <v>120</v>
      </c>
      <c r="CA14" s="160">
        <v>0</v>
      </c>
      <c r="CB14" s="145">
        <f t="shared" si="13"/>
        <v>0</v>
      </c>
      <c r="CC14" s="146"/>
      <c r="CD14" s="151">
        <f t="shared" si="14"/>
        <v>0.32</v>
      </c>
      <c r="CE14" s="161" t="s">
        <v>120</v>
      </c>
      <c r="CF14" s="162" t="s">
        <v>120</v>
      </c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ht="12.3">
      <c r="A15" s="128" t="s">
        <v>448</v>
      </c>
      <c r="B15" s="129">
        <v>4000</v>
      </c>
      <c r="C15" s="129">
        <v>39430</v>
      </c>
      <c r="D15" s="129"/>
      <c r="E15" s="129"/>
      <c r="F15" s="130"/>
      <c r="G15" s="131" t="s">
        <v>166</v>
      </c>
      <c r="H15" s="131" t="s">
        <v>120</v>
      </c>
      <c r="I15" s="131" t="s">
        <v>120</v>
      </c>
      <c r="J15" s="131" t="s">
        <v>449</v>
      </c>
      <c r="K15" s="131" t="s">
        <v>450</v>
      </c>
      <c r="L15" s="177">
        <v>1</v>
      </c>
      <c r="M15" s="131" t="str">
        <f>_xlfn.XLOOKUP(L15,[1]Auslegungsgrundlagen!$A$9:$A$100,[1]Auslegungsgrundlagen!$B$9:$B$100)</f>
        <v>Flex-/ Co-Work/</v>
      </c>
      <c r="N15" s="132">
        <v>64</v>
      </c>
      <c r="O15" s="132">
        <v>240.73</v>
      </c>
      <c r="P15" s="133">
        <v>0</v>
      </c>
      <c r="Q15" s="134"/>
      <c r="R15" s="135">
        <f>_xlfn.XLOOKUP(L15,[1]Auslegungsgrundlagen!$A$9:$A$100,[1]Auslegungsgrundlagen!$M$9:$M$100)</f>
        <v>50</v>
      </c>
      <c r="S15" s="136">
        <f>_xlfn.XLOOKUP(L15,[1]Auslegungsgrundlagen!$A$9:$A$100,[1]Auslegungsgrundlagen!$Q$9:$Q$100)*P15</f>
        <v>0</v>
      </c>
      <c r="T15" s="137">
        <v>0</v>
      </c>
      <c r="U15" s="137">
        <v>0</v>
      </c>
      <c r="V15" s="138">
        <v>0</v>
      </c>
      <c r="W15" s="139">
        <f t="shared" si="0"/>
        <v>3.2</v>
      </c>
      <c r="X15" s="140" t="s">
        <v>481</v>
      </c>
      <c r="Y15" s="137">
        <f t="shared" si="15"/>
        <v>3200</v>
      </c>
      <c r="Z15" s="141">
        <v>1</v>
      </c>
      <c r="AA15" s="142">
        <f t="shared" si="1"/>
        <v>3.2</v>
      </c>
      <c r="AB15" s="140" t="s">
        <v>120</v>
      </c>
      <c r="AC15" s="143" t="s">
        <v>120</v>
      </c>
      <c r="AD15" s="144">
        <v>0</v>
      </c>
      <c r="AE15" s="145">
        <f t="shared" si="2"/>
        <v>0</v>
      </c>
      <c r="AF15" s="146"/>
      <c r="AG15" s="140" t="s">
        <v>120</v>
      </c>
      <c r="AH15" s="143" t="s">
        <v>120</v>
      </c>
      <c r="AI15" s="144">
        <v>0</v>
      </c>
      <c r="AJ15" s="145">
        <f t="shared" si="3"/>
        <v>0</v>
      </c>
      <c r="AK15" s="146"/>
      <c r="AL15" s="147">
        <f t="shared" si="4"/>
        <v>3.2</v>
      </c>
      <c r="AM15" s="140" t="s">
        <v>120</v>
      </c>
      <c r="AN15" s="143" t="s">
        <v>120</v>
      </c>
      <c r="AO15" s="144">
        <v>0</v>
      </c>
      <c r="AP15" s="148">
        <v>0</v>
      </c>
      <c r="AQ15" s="142">
        <f t="shared" si="5"/>
        <v>0</v>
      </c>
      <c r="AR15" s="140" t="s">
        <v>120</v>
      </c>
      <c r="AS15" s="143" t="s">
        <v>120</v>
      </c>
      <c r="AT15" s="144">
        <v>0</v>
      </c>
      <c r="AU15" s="149">
        <v>0</v>
      </c>
      <c r="AV15" s="145">
        <f t="shared" si="6"/>
        <v>0</v>
      </c>
      <c r="AW15" s="146"/>
      <c r="AX15" s="140" t="s">
        <v>120</v>
      </c>
      <c r="AY15" s="143" t="s">
        <v>120</v>
      </c>
      <c r="AZ15" s="144">
        <v>0</v>
      </c>
      <c r="BA15" s="149">
        <v>0</v>
      </c>
      <c r="BB15" s="145">
        <f t="shared" si="7"/>
        <v>0</v>
      </c>
      <c r="BC15" s="150"/>
      <c r="BD15" s="151">
        <f t="shared" si="8"/>
        <v>0</v>
      </c>
      <c r="BE15" s="152">
        <f t="shared" si="9"/>
        <v>3.2</v>
      </c>
      <c r="BF15" s="140" t="s">
        <v>120</v>
      </c>
      <c r="BG15" s="153" t="s">
        <v>120</v>
      </c>
      <c r="BH15" s="154" t="s">
        <v>120</v>
      </c>
      <c r="BI15" s="155" t="s">
        <v>120</v>
      </c>
      <c r="BJ15" s="156" t="s">
        <v>120</v>
      </c>
      <c r="BK15" s="157"/>
      <c r="BL15" s="158">
        <f>_xlfn.XLOOKUP(L15,[1]Auslegungsgrundlagen!$A$9:$A$100,[1]Auslegungsgrundlagen!$U$9:$U$100)</f>
        <v>40</v>
      </c>
      <c r="BM15" s="137">
        <v>0</v>
      </c>
      <c r="BN15" s="159">
        <v>0</v>
      </c>
      <c r="BO15" s="152">
        <f t="shared" si="10"/>
        <v>2.56</v>
      </c>
      <c r="BP15" s="140" t="s">
        <v>481</v>
      </c>
      <c r="BQ15" s="143">
        <f t="shared" si="16"/>
        <v>2560</v>
      </c>
      <c r="BR15" s="160">
        <v>1</v>
      </c>
      <c r="BS15" s="142">
        <f t="shared" si="11"/>
        <v>2.56</v>
      </c>
      <c r="BT15" s="140" t="s">
        <v>120</v>
      </c>
      <c r="BU15" s="143" t="s">
        <v>120</v>
      </c>
      <c r="BV15" s="160">
        <v>0</v>
      </c>
      <c r="BW15" s="145">
        <f t="shared" si="12"/>
        <v>0</v>
      </c>
      <c r="BX15" s="146"/>
      <c r="BY15" s="140" t="s">
        <v>120</v>
      </c>
      <c r="BZ15" s="143" t="s">
        <v>120</v>
      </c>
      <c r="CA15" s="160">
        <v>0</v>
      </c>
      <c r="CB15" s="145">
        <f t="shared" si="13"/>
        <v>0</v>
      </c>
      <c r="CC15" s="146"/>
      <c r="CD15" s="151">
        <f t="shared" si="14"/>
        <v>2.56</v>
      </c>
      <c r="CE15" s="161" t="s">
        <v>120</v>
      </c>
      <c r="CF15" s="162" t="s">
        <v>120</v>
      </c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ht="12.3">
      <c r="A16" s="128" t="s">
        <v>189</v>
      </c>
      <c r="B16" s="129">
        <v>4000</v>
      </c>
      <c r="C16" s="129">
        <v>12030</v>
      </c>
      <c r="D16" s="129"/>
      <c r="E16" s="129"/>
      <c r="F16" s="130"/>
      <c r="G16" s="131" t="s">
        <v>166</v>
      </c>
      <c r="H16" s="131" t="s">
        <v>120</v>
      </c>
      <c r="I16" s="131" t="s">
        <v>120</v>
      </c>
      <c r="J16" s="131" t="s">
        <v>190</v>
      </c>
      <c r="K16" s="131" t="s">
        <v>191</v>
      </c>
      <c r="L16" s="177">
        <v>2</v>
      </c>
      <c r="M16" s="131" t="str">
        <f>_xlfn.XLOOKUP(L16,[1]Auslegungsgrundlagen!$A$9:$A$100,[1]Auslegungsgrundlagen!$B$9:$B$100)</f>
        <v>Einzel-/Zweierbüros</v>
      </c>
      <c r="N16" s="132">
        <v>8</v>
      </c>
      <c r="O16" s="132">
        <v>30.48</v>
      </c>
      <c r="P16" s="133">
        <v>0</v>
      </c>
      <c r="Q16" s="134"/>
      <c r="R16" s="135">
        <f>_xlfn.XLOOKUP(L16,[1]Auslegungsgrundlagen!$A$9:$A$100,[1]Auslegungsgrundlagen!$M$9:$M$100)</f>
        <v>50</v>
      </c>
      <c r="S16" s="136">
        <f>_xlfn.XLOOKUP(L16,[1]Auslegungsgrundlagen!$A$9:$A$100,[1]Auslegungsgrundlagen!$Q$9:$Q$100)*P16</f>
        <v>0</v>
      </c>
      <c r="T16" s="137">
        <v>0</v>
      </c>
      <c r="U16" s="137">
        <v>0</v>
      </c>
      <c r="V16" s="138">
        <v>0</v>
      </c>
      <c r="W16" s="139">
        <f t="shared" si="0"/>
        <v>0.4</v>
      </c>
      <c r="X16" s="140" t="s">
        <v>481</v>
      </c>
      <c r="Y16" s="137">
        <f t="shared" si="15"/>
        <v>400</v>
      </c>
      <c r="Z16" s="141">
        <v>1</v>
      </c>
      <c r="AA16" s="142">
        <f t="shared" si="1"/>
        <v>0.4</v>
      </c>
      <c r="AB16" s="140" t="s">
        <v>120</v>
      </c>
      <c r="AC16" s="143" t="s">
        <v>120</v>
      </c>
      <c r="AD16" s="144">
        <v>0</v>
      </c>
      <c r="AE16" s="145">
        <f t="shared" si="2"/>
        <v>0</v>
      </c>
      <c r="AF16" s="146"/>
      <c r="AG16" s="140" t="s">
        <v>120</v>
      </c>
      <c r="AH16" s="143" t="s">
        <v>120</v>
      </c>
      <c r="AI16" s="144">
        <v>0</v>
      </c>
      <c r="AJ16" s="145">
        <f t="shared" si="3"/>
        <v>0</v>
      </c>
      <c r="AK16" s="146"/>
      <c r="AL16" s="147">
        <f t="shared" si="4"/>
        <v>0.4</v>
      </c>
      <c r="AM16" s="140" t="s">
        <v>120</v>
      </c>
      <c r="AN16" s="143" t="s">
        <v>120</v>
      </c>
      <c r="AO16" s="144">
        <v>0</v>
      </c>
      <c r="AP16" s="148">
        <v>0</v>
      </c>
      <c r="AQ16" s="142">
        <f t="shared" si="5"/>
        <v>0</v>
      </c>
      <c r="AR16" s="140" t="s">
        <v>120</v>
      </c>
      <c r="AS16" s="143" t="s">
        <v>120</v>
      </c>
      <c r="AT16" s="144">
        <v>0</v>
      </c>
      <c r="AU16" s="149">
        <v>0</v>
      </c>
      <c r="AV16" s="145">
        <f t="shared" si="6"/>
        <v>0</v>
      </c>
      <c r="AW16" s="146"/>
      <c r="AX16" s="140" t="s">
        <v>120</v>
      </c>
      <c r="AY16" s="143" t="s">
        <v>120</v>
      </c>
      <c r="AZ16" s="144">
        <v>0</v>
      </c>
      <c r="BA16" s="149">
        <v>0</v>
      </c>
      <c r="BB16" s="145">
        <f t="shared" si="7"/>
        <v>0</v>
      </c>
      <c r="BC16" s="150"/>
      <c r="BD16" s="151">
        <f t="shared" si="8"/>
        <v>0</v>
      </c>
      <c r="BE16" s="152">
        <f t="shared" si="9"/>
        <v>0.4</v>
      </c>
      <c r="BF16" s="140" t="s">
        <v>120</v>
      </c>
      <c r="BG16" s="153" t="s">
        <v>120</v>
      </c>
      <c r="BH16" s="154" t="s">
        <v>120</v>
      </c>
      <c r="BI16" s="155" t="s">
        <v>120</v>
      </c>
      <c r="BJ16" s="156" t="s">
        <v>120</v>
      </c>
      <c r="BK16" s="157"/>
      <c r="BL16" s="158">
        <f>_xlfn.XLOOKUP(L16,[1]Auslegungsgrundlagen!$A$9:$A$100,[1]Auslegungsgrundlagen!$U$9:$U$100)</f>
        <v>40</v>
      </c>
      <c r="BM16" s="137">
        <v>0</v>
      </c>
      <c r="BN16" s="159">
        <v>0</v>
      </c>
      <c r="BO16" s="152">
        <f t="shared" si="10"/>
        <v>0.32</v>
      </c>
      <c r="BP16" s="140" t="s">
        <v>481</v>
      </c>
      <c r="BQ16" s="143">
        <f t="shared" si="16"/>
        <v>320</v>
      </c>
      <c r="BR16" s="160">
        <v>1</v>
      </c>
      <c r="BS16" s="142">
        <f t="shared" si="11"/>
        <v>0.32</v>
      </c>
      <c r="BT16" s="140" t="s">
        <v>120</v>
      </c>
      <c r="BU16" s="143" t="s">
        <v>120</v>
      </c>
      <c r="BV16" s="160">
        <v>0</v>
      </c>
      <c r="BW16" s="145">
        <f t="shared" si="12"/>
        <v>0</v>
      </c>
      <c r="BX16" s="146"/>
      <c r="BY16" s="140" t="s">
        <v>120</v>
      </c>
      <c r="BZ16" s="143" t="s">
        <v>120</v>
      </c>
      <c r="CA16" s="160">
        <v>0</v>
      </c>
      <c r="CB16" s="145">
        <f t="shared" si="13"/>
        <v>0</v>
      </c>
      <c r="CC16" s="146"/>
      <c r="CD16" s="151">
        <f t="shared" si="14"/>
        <v>0.32</v>
      </c>
      <c r="CE16" s="161" t="s">
        <v>120</v>
      </c>
      <c r="CF16" s="162" t="s">
        <v>120</v>
      </c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ht="12.3">
      <c r="A17" s="128" t="s">
        <v>178</v>
      </c>
      <c r="B17" s="129">
        <v>4000</v>
      </c>
      <c r="C17" s="129">
        <v>11730</v>
      </c>
      <c r="D17" s="129"/>
      <c r="E17" s="129"/>
      <c r="F17" s="130"/>
      <c r="G17" s="131" t="s">
        <v>166</v>
      </c>
      <c r="H17" s="131" t="s">
        <v>120</v>
      </c>
      <c r="I17" s="131" t="s">
        <v>120</v>
      </c>
      <c r="J17" s="131" t="s">
        <v>179</v>
      </c>
      <c r="K17" s="131" t="s">
        <v>168</v>
      </c>
      <c r="L17" s="177">
        <v>18</v>
      </c>
      <c r="M17" s="131" t="str">
        <f>_xlfn.XLOOKUP(L17,[1]Auslegungsgrundlagen!$A$9:$A$100,[1]Auslegungsgrundlagen!$B$9:$B$100)</f>
        <v>Schächte</v>
      </c>
      <c r="N17" s="132">
        <v>8</v>
      </c>
      <c r="O17" s="132">
        <v>28.99</v>
      </c>
      <c r="P17" s="133">
        <v>0</v>
      </c>
      <c r="Q17" s="134"/>
      <c r="R17" s="135">
        <f>_xlfn.XLOOKUP(L17,[1]Auslegungsgrundlagen!$A$9:$A$100,[1]Auslegungsgrundlagen!$M$9:$M$100)</f>
        <v>0</v>
      </c>
      <c r="S17" s="136">
        <f>_xlfn.XLOOKUP(L17,[1]Auslegungsgrundlagen!$A$9:$A$100,[1]Auslegungsgrundlagen!$Q$9:$Q$100)*P17</f>
        <v>0</v>
      </c>
      <c r="T17" s="137">
        <v>0</v>
      </c>
      <c r="U17" s="137">
        <v>0</v>
      </c>
      <c r="V17" s="138">
        <v>0</v>
      </c>
      <c r="W17" s="139">
        <f t="shared" si="0"/>
        <v>0</v>
      </c>
      <c r="X17" s="140" t="s">
        <v>120</v>
      </c>
      <c r="Y17" s="137" t="s">
        <v>120</v>
      </c>
      <c r="Z17" s="141">
        <v>0</v>
      </c>
      <c r="AA17" s="142">
        <f t="shared" si="1"/>
        <v>0</v>
      </c>
      <c r="AB17" s="140" t="s">
        <v>120</v>
      </c>
      <c r="AC17" s="143" t="s">
        <v>120</v>
      </c>
      <c r="AD17" s="144">
        <v>0</v>
      </c>
      <c r="AE17" s="145">
        <f t="shared" si="2"/>
        <v>0</v>
      </c>
      <c r="AF17" s="146"/>
      <c r="AG17" s="140" t="s">
        <v>120</v>
      </c>
      <c r="AH17" s="143" t="s">
        <v>120</v>
      </c>
      <c r="AI17" s="144">
        <v>0</v>
      </c>
      <c r="AJ17" s="145">
        <f t="shared" si="3"/>
        <v>0</v>
      </c>
      <c r="AK17" s="146"/>
      <c r="AL17" s="147">
        <f t="shared" si="4"/>
        <v>0</v>
      </c>
      <c r="AM17" s="140" t="s">
        <v>120</v>
      </c>
      <c r="AN17" s="143" t="s">
        <v>120</v>
      </c>
      <c r="AO17" s="144">
        <v>0</v>
      </c>
      <c r="AP17" s="148">
        <v>0</v>
      </c>
      <c r="AQ17" s="142">
        <f t="shared" si="5"/>
        <v>0</v>
      </c>
      <c r="AR17" s="140" t="s">
        <v>120</v>
      </c>
      <c r="AS17" s="143" t="s">
        <v>120</v>
      </c>
      <c r="AT17" s="144">
        <v>0</v>
      </c>
      <c r="AU17" s="149">
        <v>0</v>
      </c>
      <c r="AV17" s="145">
        <f t="shared" si="6"/>
        <v>0</v>
      </c>
      <c r="AW17" s="146"/>
      <c r="AX17" s="140" t="s">
        <v>120</v>
      </c>
      <c r="AY17" s="143" t="s">
        <v>120</v>
      </c>
      <c r="AZ17" s="144">
        <v>0</v>
      </c>
      <c r="BA17" s="149">
        <v>0</v>
      </c>
      <c r="BB17" s="145">
        <f t="shared" si="7"/>
        <v>0</v>
      </c>
      <c r="BC17" s="150"/>
      <c r="BD17" s="151">
        <f t="shared" si="8"/>
        <v>0</v>
      </c>
      <c r="BE17" s="152">
        <f t="shared" si="9"/>
        <v>0</v>
      </c>
      <c r="BF17" s="140" t="s">
        <v>120</v>
      </c>
      <c r="BG17" s="153" t="s">
        <v>120</v>
      </c>
      <c r="BH17" s="154" t="s">
        <v>120</v>
      </c>
      <c r="BI17" s="155" t="s">
        <v>120</v>
      </c>
      <c r="BJ17" s="156" t="s">
        <v>120</v>
      </c>
      <c r="BK17" s="157"/>
      <c r="BL17" s="158">
        <f>_xlfn.XLOOKUP(L17,[1]Auslegungsgrundlagen!$A$9:$A$100,[1]Auslegungsgrundlagen!$U$9:$U$100)</f>
        <v>0</v>
      </c>
      <c r="BM17" s="137">
        <v>0</v>
      </c>
      <c r="BN17" s="159">
        <v>0</v>
      </c>
      <c r="BO17" s="152">
        <f t="shared" si="10"/>
        <v>0</v>
      </c>
      <c r="BP17" s="140" t="s">
        <v>120</v>
      </c>
      <c r="BQ17" s="143" t="s">
        <v>120</v>
      </c>
      <c r="BR17" s="160">
        <v>0</v>
      </c>
      <c r="BS17" s="142">
        <f t="shared" si="11"/>
        <v>0</v>
      </c>
      <c r="BT17" s="140" t="s">
        <v>120</v>
      </c>
      <c r="BU17" s="143" t="s">
        <v>120</v>
      </c>
      <c r="BV17" s="160">
        <v>0</v>
      </c>
      <c r="BW17" s="145">
        <f t="shared" si="12"/>
        <v>0</v>
      </c>
      <c r="BX17" s="146"/>
      <c r="BY17" s="140" t="s">
        <v>120</v>
      </c>
      <c r="BZ17" s="143" t="s">
        <v>120</v>
      </c>
      <c r="CA17" s="160">
        <v>0</v>
      </c>
      <c r="CB17" s="145">
        <f t="shared" si="13"/>
        <v>0</v>
      </c>
      <c r="CC17" s="146"/>
      <c r="CD17" s="151">
        <f t="shared" si="14"/>
        <v>0</v>
      </c>
      <c r="CE17" s="161" t="s">
        <v>120</v>
      </c>
      <c r="CF17" s="162" t="s">
        <v>120</v>
      </c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ht="12.3">
      <c r="A18" s="128" t="s">
        <v>180</v>
      </c>
      <c r="B18" s="129">
        <v>4000</v>
      </c>
      <c r="C18" s="129">
        <v>11730</v>
      </c>
      <c r="D18" s="129"/>
      <c r="E18" s="129"/>
      <c r="F18" s="130"/>
      <c r="G18" s="131" t="s">
        <v>166</v>
      </c>
      <c r="H18" s="131" t="s">
        <v>120</v>
      </c>
      <c r="I18" s="131" t="s">
        <v>120</v>
      </c>
      <c r="J18" s="131" t="s">
        <v>181</v>
      </c>
      <c r="K18" s="131" t="s">
        <v>483</v>
      </c>
      <c r="L18" s="177">
        <v>13</v>
      </c>
      <c r="M18" s="131" t="str">
        <f>_xlfn.XLOOKUP(L18,[1]Auslegungsgrundlagen!$A$9:$A$100,[1]Auslegungsgrundlagen!$B$9:$B$100)</f>
        <v>Etagenverteiler</v>
      </c>
      <c r="N18" s="132">
        <v>8</v>
      </c>
      <c r="O18" s="132">
        <v>28.99</v>
      </c>
      <c r="P18" s="133">
        <v>0</v>
      </c>
      <c r="Q18" s="134"/>
      <c r="R18" s="135">
        <f>_xlfn.XLOOKUP(L18,[1]Auslegungsgrundlagen!$A$9:$A$100,[1]Auslegungsgrundlagen!$M$9:$M$100)</f>
        <v>0</v>
      </c>
      <c r="S18" s="136">
        <f>_xlfn.XLOOKUP(L18,[1]Auslegungsgrundlagen!$A$9:$A$100,[1]Auslegungsgrundlagen!$Q$9:$Q$100)*P18</f>
        <v>0</v>
      </c>
      <c r="T18" s="137">
        <v>3500</v>
      </c>
      <c r="U18" s="137">
        <v>0</v>
      </c>
      <c r="V18" s="138">
        <v>0</v>
      </c>
      <c r="W18" s="139">
        <f t="shared" si="0"/>
        <v>3.5</v>
      </c>
      <c r="X18" s="140" t="s">
        <v>11</v>
      </c>
      <c r="Y18" s="137">
        <f>W18*1000</f>
        <v>3500</v>
      </c>
      <c r="Z18" s="141">
        <v>1</v>
      </c>
      <c r="AA18" s="142">
        <f t="shared" si="1"/>
        <v>3.5</v>
      </c>
      <c r="AB18" s="140" t="s">
        <v>120</v>
      </c>
      <c r="AC18" s="143" t="s">
        <v>120</v>
      </c>
      <c r="AD18" s="144">
        <v>0</v>
      </c>
      <c r="AE18" s="145">
        <f t="shared" si="2"/>
        <v>0</v>
      </c>
      <c r="AF18" s="146"/>
      <c r="AG18" s="140" t="s">
        <v>120</v>
      </c>
      <c r="AH18" s="143" t="s">
        <v>120</v>
      </c>
      <c r="AI18" s="144">
        <v>0</v>
      </c>
      <c r="AJ18" s="145">
        <f t="shared" si="3"/>
        <v>0</v>
      </c>
      <c r="AK18" s="146"/>
      <c r="AL18" s="147">
        <f t="shared" si="4"/>
        <v>3.5</v>
      </c>
      <c r="AM18" s="140" t="s">
        <v>120</v>
      </c>
      <c r="AN18" s="143" t="s">
        <v>120</v>
      </c>
      <c r="AO18" s="144">
        <v>0</v>
      </c>
      <c r="AP18" s="148">
        <v>0</v>
      </c>
      <c r="AQ18" s="142">
        <f t="shared" si="5"/>
        <v>0</v>
      </c>
      <c r="AR18" s="140" t="s">
        <v>120</v>
      </c>
      <c r="AS18" s="143" t="s">
        <v>120</v>
      </c>
      <c r="AT18" s="144">
        <v>0</v>
      </c>
      <c r="AU18" s="149">
        <v>0</v>
      </c>
      <c r="AV18" s="145">
        <f t="shared" si="6"/>
        <v>0</v>
      </c>
      <c r="AW18" s="146"/>
      <c r="AX18" s="140" t="s">
        <v>120</v>
      </c>
      <c r="AY18" s="143" t="s">
        <v>120</v>
      </c>
      <c r="AZ18" s="144">
        <v>0</v>
      </c>
      <c r="BA18" s="149">
        <v>0</v>
      </c>
      <c r="BB18" s="145">
        <f t="shared" si="7"/>
        <v>0</v>
      </c>
      <c r="BC18" s="150"/>
      <c r="BD18" s="151">
        <f t="shared" si="8"/>
        <v>0</v>
      </c>
      <c r="BE18" s="152">
        <f t="shared" si="9"/>
        <v>3.5</v>
      </c>
      <c r="BF18" s="140" t="s">
        <v>120</v>
      </c>
      <c r="BG18" s="153" t="s">
        <v>120</v>
      </c>
      <c r="BH18" s="154" t="s">
        <v>120</v>
      </c>
      <c r="BI18" s="155" t="s">
        <v>120</v>
      </c>
      <c r="BJ18" s="156" t="s">
        <v>120</v>
      </c>
      <c r="BK18" s="157"/>
      <c r="BL18" s="158">
        <f>_xlfn.XLOOKUP(L18,[1]Auslegungsgrundlagen!$A$9:$A$100,[1]Auslegungsgrundlagen!$U$9:$U$100)</f>
        <v>0</v>
      </c>
      <c r="BM18" s="137">
        <v>0</v>
      </c>
      <c r="BN18" s="159">
        <v>0</v>
      </c>
      <c r="BO18" s="152">
        <f t="shared" si="10"/>
        <v>0</v>
      </c>
      <c r="BP18" s="140" t="s">
        <v>120</v>
      </c>
      <c r="BQ18" s="143" t="s">
        <v>120</v>
      </c>
      <c r="BR18" s="160">
        <v>0</v>
      </c>
      <c r="BS18" s="142">
        <f t="shared" si="11"/>
        <v>0</v>
      </c>
      <c r="BT18" s="140" t="s">
        <v>120</v>
      </c>
      <c r="BU18" s="143" t="s">
        <v>120</v>
      </c>
      <c r="BV18" s="160">
        <v>0</v>
      </c>
      <c r="BW18" s="145">
        <f t="shared" si="12"/>
        <v>0</v>
      </c>
      <c r="BX18" s="146"/>
      <c r="BY18" s="140" t="s">
        <v>120</v>
      </c>
      <c r="BZ18" s="143" t="s">
        <v>120</v>
      </c>
      <c r="CA18" s="160">
        <v>0</v>
      </c>
      <c r="CB18" s="145">
        <f t="shared" si="13"/>
        <v>0</v>
      </c>
      <c r="CC18" s="146"/>
      <c r="CD18" s="151">
        <f t="shared" si="14"/>
        <v>0</v>
      </c>
      <c r="CE18" s="161" t="s">
        <v>120</v>
      </c>
      <c r="CF18" s="162" t="s">
        <v>120</v>
      </c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ht="12.3">
      <c r="A19" s="128" t="s">
        <v>451</v>
      </c>
      <c r="B19" s="129">
        <v>4000</v>
      </c>
      <c r="C19" s="129">
        <v>66210</v>
      </c>
      <c r="D19" s="129"/>
      <c r="E19" s="129"/>
      <c r="F19" s="130"/>
      <c r="G19" s="131" t="s">
        <v>166</v>
      </c>
      <c r="H19" s="131" t="s">
        <v>120</v>
      </c>
      <c r="I19" s="131" t="s">
        <v>120</v>
      </c>
      <c r="J19" s="131" t="s">
        <v>452</v>
      </c>
      <c r="K19" s="131" t="s">
        <v>156</v>
      </c>
      <c r="L19" s="177">
        <v>6</v>
      </c>
      <c r="M19" s="131" t="str">
        <f>_xlfn.XLOOKUP(L19,[1]Auslegungsgrundlagen!$A$9:$A$100,[1]Auslegungsgrundlagen!$B$9:$B$100)</f>
        <v>Verkehrsflächen, Flure</v>
      </c>
      <c r="N19" s="132">
        <v>70</v>
      </c>
      <c r="O19" s="132">
        <v>261.73</v>
      </c>
      <c r="P19" s="133">
        <v>0</v>
      </c>
      <c r="Q19" s="134"/>
      <c r="R19" s="135">
        <f>_xlfn.XLOOKUP(L19,[1]Auslegungsgrundlagen!$A$9:$A$100,[1]Auslegungsgrundlagen!$M$9:$M$100)</f>
        <v>0</v>
      </c>
      <c r="S19" s="136">
        <f>_xlfn.XLOOKUP(L19,[1]Auslegungsgrundlagen!$A$9:$A$100,[1]Auslegungsgrundlagen!$Q$9:$Q$100)*P19</f>
        <v>0</v>
      </c>
      <c r="T19" s="137">
        <v>0</v>
      </c>
      <c r="U19" s="137">
        <v>0</v>
      </c>
      <c r="V19" s="138">
        <v>0</v>
      </c>
      <c r="W19" s="139">
        <f t="shared" si="0"/>
        <v>0</v>
      </c>
      <c r="X19" s="140" t="s">
        <v>120</v>
      </c>
      <c r="Y19" s="137" t="s">
        <v>120</v>
      </c>
      <c r="Z19" s="141">
        <v>0</v>
      </c>
      <c r="AA19" s="142">
        <f t="shared" si="1"/>
        <v>0</v>
      </c>
      <c r="AB19" s="140" t="s">
        <v>120</v>
      </c>
      <c r="AC19" s="143" t="s">
        <v>120</v>
      </c>
      <c r="AD19" s="144">
        <v>0</v>
      </c>
      <c r="AE19" s="145">
        <f t="shared" si="2"/>
        <v>0</v>
      </c>
      <c r="AF19" s="146"/>
      <c r="AG19" s="140" t="s">
        <v>120</v>
      </c>
      <c r="AH19" s="143" t="s">
        <v>120</v>
      </c>
      <c r="AI19" s="144">
        <v>0</v>
      </c>
      <c r="AJ19" s="145">
        <f t="shared" si="3"/>
        <v>0</v>
      </c>
      <c r="AK19" s="146"/>
      <c r="AL19" s="147">
        <f t="shared" si="4"/>
        <v>0</v>
      </c>
      <c r="AM19" s="140" t="s">
        <v>120</v>
      </c>
      <c r="AN19" s="143" t="s">
        <v>120</v>
      </c>
      <c r="AO19" s="144">
        <v>0</v>
      </c>
      <c r="AP19" s="148">
        <v>0</v>
      </c>
      <c r="AQ19" s="142">
        <f t="shared" si="5"/>
        <v>0</v>
      </c>
      <c r="AR19" s="140" t="s">
        <v>120</v>
      </c>
      <c r="AS19" s="143" t="s">
        <v>120</v>
      </c>
      <c r="AT19" s="144">
        <v>0</v>
      </c>
      <c r="AU19" s="149">
        <v>0</v>
      </c>
      <c r="AV19" s="145">
        <f t="shared" si="6"/>
        <v>0</v>
      </c>
      <c r="AW19" s="146"/>
      <c r="AX19" s="140" t="s">
        <v>120</v>
      </c>
      <c r="AY19" s="143" t="s">
        <v>120</v>
      </c>
      <c r="AZ19" s="144">
        <v>0</v>
      </c>
      <c r="BA19" s="149">
        <v>0</v>
      </c>
      <c r="BB19" s="145">
        <f t="shared" si="7"/>
        <v>0</v>
      </c>
      <c r="BC19" s="150"/>
      <c r="BD19" s="151">
        <f t="shared" si="8"/>
        <v>0</v>
      </c>
      <c r="BE19" s="152">
        <f t="shared" si="9"/>
        <v>0</v>
      </c>
      <c r="BF19" s="140" t="s">
        <v>120</v>
      </c>
      <c r="BG19" s="153" t="s">
        <v>120</v>
      </c>
      <c r="BH19" s="154" t="s">
        <v>120</v>
      </c>
      <c r="BI19" s="155" t="s">
        <v>120</v>
      </c>
      <c r="BJ19" s="156" t="s">
        <v>120</v>
      </c>
      <c r="BK19" s="157"/>
      <c r="BL19" s="158">
        <f>_xlfn.XLOOKUP(L19,[1]Auslegungsgrundlagen!$A$9:$A$100,[1]Auslegungsgrundlagen!$U$9:$U$100)</f>
        <v>0</v>
      </c>
      <c r="BM19" s="137">
        <v>0</v>
      </c>
      <c r="BN19" s="159">
        <v>0</v>
      </c>
      <c r="BO19" s="152">
        <f t="shared" si="10"/>
        <v>0</v>
      </c>
      <c r="BP19" s="140" t="s">
        <v>120</v>
      </c>
      <c r="BQ19" s="143" t="s">
        <v>120</v>
      </c>
      <c r="BR19" s="160">
        <v>0</v>
      </c>
      <c r="BS19" s="142">
        <f t="shared" si="11"/>
        <v>0</v>
      </c>
      <c r="BT19" s="140" t="s">
        <v>120</v>
      </c>
      <c r="BU19" s="143" t="s">
        <v>120</v>
      </c>
      <c r="BV19" s="160">
        <v>0</v>
      </c>
      <c r="BW19" s="145">
        <f t="shared" si="12"/>
        <v>0</v>
      </c>
      <c r="BX19" s="146"/>
      <c r="BY19" s="140" t="s">
        <v>120</v>
      </c>
      <c r="BZ19" s="143" t="s">
        <v>120</v>
      </c>
      <c r="CA19" s="160">
        <v>0</v>
      </c>
      <c r="CB19" s="145">
        <f t="shared" si="13"/>
        <v>0</v>
      </c>
      <c r="CC19" s="146"/>
      <c r="CD19" s="151">
        <f t="shared" si="14"/>
        <v>0</v>
      </c>
      <c r="CE19" s="161" t="s">
        <v>120</v>
      </c>
      <c r="CF19" s="162" t="s">
        <v>120</v>
      </c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ht="12.3">
      <c r="A20" s="128" t="s">
        <v>209</v>
      </c>
      <c r="B20" s="129">
        <v>4000</v>
      </c>
      <c r="C20" s="129">
        <v>40670</v>
      </c>
      <c r="D20" s="129"/>
      <c r="E20" s="129"/>
      <c r="F20" s="130"/>
      <c r="G20" s="131" t="s">
        <v>166</v>
      </c>
      <c r="H20" s="131" t="s">
        <v>120</v>
      </c>
      <c r="I20" s="131" t="s">
        <v>120</v>
      </c>
      <c r="J20" s="131" t="s">
        <v>210</v>
      </c>
      <c r="K20" s="131" t="s">
        <v>211</v>
      </c>
      <c r="L20" s="177">
        <v>3</v>
      </c>
      <c r="M20" s="131" t="str">
        <f>_xlfn.XLOOKUP(L20,[1]Auslegungsgrundlagen!$A$9:$A$100,[1]Auslegungsgrundlagen!$B$9:$B$100)</f>
        <v>Technikum</v>
      </c>
      <c r="N20" s="132">
        <v>99</v>
      </c>
      <c r="O20" s="132">
        <v>371.56</v>
      </c>
      <c r="P20" s="133">
        <v>0</v>
      </c>
      <c r="Q20" s="134"/>
      <c r="R20" s="135">
        <f>_xlfn.XLOOKUP(L20,[1]Auslegungsgrundlagen!$A$9:$A$100,[1]Auslegungsgrundlagen!$M$9:$M$100)</f>
        <v>0</v>
      </c>
      <c r="S20" s="136">
        <f>_xlfn.XLOOKUP(L20,[1]Auslegungsgrundlagen!$A$9:$A$100,[1]Auslegungsgrundlagen!$Q$9:$Q$100)*P20</f>
        <v>0</v>
      </c>
      <c r="T20" s="137">
        <v>0</v>
      </c>
      <c r="U20" s="137">
        <v>0</v>
      </c>
      <c r="V20" s="138">
        <v>0</v>
      </c>
      <c r="W20" s="139">
        <f t="shared" si="0"/>
        <v>0</v>
      </c>
      <c r="X20" s="140"/>
      <c r="Y20" s="137"/>
      <c r="Z20" s="141"/>
      <c r="AA20" s="142">
        <f t="shared" si="1"/>
        <v>0</v>
      </c>
      <c r="AB20" s="140" t="s">
        <v>120</v>
      </c>
      <c r="AC20" s="143" t="s">
        <v>120</v>
      </c>
      <c r="AD20" s="144">
        <v>0</v>
      </c>
      <c r="AE20" s="145">
        <f t="shared" si="2"/>
        <v>0</v>
      </c>
      <c r="AF20" s="146"/>
      <c r="AG20" s="140" t="s">
        <v>120</v>
      </c>
      <c r="AH20" s="143" t="s">
        <v>120</v>
      </c>
      <c r="AI20" s="144">
        <v>0</v>
      </c>
      <c r="AJ20" s="145">
        <f t="shared" si="3"/>
        <v>0</v>
      </c>
      <c r="AK20" s="146"/>
      <c r="AL20" s="147">
        <f t="shared" si="4"/>
        <v>0</v>
      </c>
      <c r="AM20" s="140" t="s">
        <v>120</v>
      </c>
      <c r="AN20" s="143" t="s">
        <v>120</v>
      </c>
      <c r="AO20" s="144">
        <v>0</v>
      </c>
      <c r="AP20" s="148">
        <v>0</v>
      </c>
      <c r="AQ20" s="142">
        <f t="shared" si="5"/>
        <v>0</v>
      </c>
      <c r="AR20" s="140" t="s">
        <v>120</v>
      </c>
      <c r="AS20" s="143" t="s">
        <v>120</v>
      </c>
      <c r="AT20" s="144">
        <v>0</v>
      </c>
      <c r="AU20" s="149">
        <v>0</v>
      </c>
      <c r="AV20" s="145">
        <f t="shared" si="6"/>
        <v>0</v>
      </c>
      <c r="AW20" s="146"/>
      <c r="AX20" s="140" t="s">
        <v>120</v>
      </c>
      <c r="AY20" s="143" t="s">
        <v>120</v>
      </c>
      <c r="AZ20" s="144">
        <v>0</v>
      </c>
      <c r="BA20" s="149">
        <v>0</v>
      </c>
      <c r="BB20" s="145">
        <f t="shared" si="7"/>
        <v>0</v>
      </c>
      <c r="BC20" s="150"/>
      <c r="BD20" s="151">
        <f t="shared" si="8"/>
        <v>0</v>
      </c>
      <c r="BE20" s="152">
        <f t="shared" si="9"/>
        <v>0</v>
      </c>
      <c r="BF20" s="140" t="s">
        <v>120</v>
      </c>
      <c r="BG20" s="153" t="s">
        <v>120</v>
      </c>
      <c r="BH20" s="154" t="s">
        <v>120</v>
      </c>
      <c r="BI20" s="155" t="s">
        <v>120</v>
      </c>
      <c r="BJ20" s="156" t="s">
        <v>120</v>
      </c>
      <c r="BK20" s="157"/>
      <c r="BL20" s="158">
        <f>_xlfn.XLOOKUP(L20,[1]Auslegungsgrundlagen!$A$9:$A$100,[1]Auslegungsgrundlagen!$U$9:$U$100)</f>
        <v>40</v>
      </c>
      <c r="BM20" s="137">
        <v>0</v>
      </c>
      <c r="BN20" s="159">
        <v>0</v>
      </c>
      <c r="BO20" s="152">
        <f t="shared" si="10"/>
        <v>3.96</v>
      </c>
      <c r="BP20" s="140" t="s">
        <v>482</v>
      </c>
      <c r="BQ20" s="143">
        <f>BO20*1000</f>
        <v>3960</v>
      </c>
      <c r="BR20" s="160">
        <v>1</v>
      </c>
      <c r="BS20" s="142">
        <f t="shared" si="11"/>
        <v>3.96</v>
      </c>
      <c r="BT20" s="140" t="s">
        <v>120</v>
      </c>
      <c r="BU20" s="143" t="s">
        <v>120</v>
      </c>
      <c r="BV20" s="160">
        <v>0</v>
      </c>
      <c r="BW20" s="145">
        <f t="shared" si="12"/>
        <v>0</v>
      </c>
      <c r="BX20" s="146"/>
      <c r="BY20" s="140" t="s">
        <v>120</v>
      </c>
      <c r="BZ20" s="143" t="s">
        <v>120</v>
      </c>
      <c r="CA20" s="160">
        <v>0</v>
      </c>
      <c r="CB20" s="145">
        <f t="shared" si="13"/>
        <v>0</v>
      </c>
      <c r="CC20" s="146"/>
      <c r="CD20" s="151">
        <f t="shared" si="14"/>
        <v>3.96</v>
      </c>
      <c r="CE20" s="161" t="s">
        <v>120</v>
      </c>
      <c r="CF20" s="162" t="s">
        <v>120</v>
      </c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ht="12.3">
      <c r="A21" s="128" t="s">
        <v>182</v>
      </c>
      <c r="B21" s="129">
        <v>4000</v>
      </c>
      <c r="C21" s="129">
        <v>7130</v>
      </c>
      <c r="D21" s="129"/>
      <c r="E21" s="129"/>
      <c r="F21" s="130"/>
      <c r="G21" s="131" t="s">
        <v>166</v>
      </c>
      <c r="H21" s="131" t="s">
        <v>120</v>
      </c>
      <c r="I21" s="131" t="s">
        <v>120</v>
      </c>
      <c r="J21" s="131" t="s">
        <v>183</v>
      </c>
      <c r="K21" s="131" t="s">
        <v>184</v>
      </c>
      <c r="L21" s="177">
        <v>8</v>
      </c>
      <c r="M21" s="131" t="str">
        <f>_xlfn.XLOOKUP(L21,[1]Auslegungsgrundlagen!$A$9:$A$100,[1]Auslegungsgrundlagen!$B$9:$B$100)</f>
        <v>WCs</v>
      </c>
      <c r="N21" s="132">
        <v>3</v>
      </c>
      <c r="O21" s="132">
        <v>11.91</v>
      </c>
      <c r="P21" s="133">
        <v>0</v>
      </c>
      <c r="Q21" s="134"/>
      <c r="R21" s="135">
        <f>_xlfn.XLOOKUP(L21,[1]Auslegungsgrundlagen!$A$9:$A$100,[1]Auslegungsgrundlagen!$M$9:$M$100)</f>
        <v>0</v>
      </c>
      <c r="S21" s="136">
        <f>_xlfn.XLOOKUP(L21,[1]Auslegungsgrundlagen!$A$9:$A$100,[1]Auslegungsgrundlagen!$Q$9:$Q$100)*P21</f>
        <v>0</v>
      </c>
      <c r="T21" s="137">
        <v>0</v>
      </c>
      <c r="U21" s="137">
        <v>0</v>
      </c>
      <c r="V21" s="138">
        <v>0</v>
      </c>
      <c r="W21" s="139">
        <f t="shared" si="0"/>
        <v>0</v>
      </c>
      <c r="X21" s="140" t="s">
        <v>120</v>
      </c>
      <c r="Y21" s="137" t="s">
        <v>120</v>
      </c>
      <c r="Z21" s="141">
        <v>0</v>
      </c>
      <c r="AA21" s="142">
        <f t="shared" si="1"/>
        <v>0</v>
      </c>
      <c r="AB21" s="140" t="s">
        <v>120</v>
      </c>
      <c r="AC21" s="143" t="s">
        <v>120</v>
      </c>
      <c r="AD21" s="144">
        <v>0</v>
      </c>
      <c r="AE21" s="145">
        <f t="shared" si="2"/>
        <v>0</v>
      </c>
      <c r="AF21" s="146"/>
      <c r="AG21" s="140" t="s">
        <v>120</v>
      </c>
      <c r="AH21" s="143" t="s">
        <v>120</v>
      </c>
      <c r="AI21" s="144">
        <v>0</v>
      </c>
      <c r="AJ21" s="145">
        <f t="shared" si="3"/>
        <v>0</v>
      </c>
      <c r="AK21" s="146"/>
      <c r="AL21" s="147">
        <f t="shared" si="4"/>
        <v>0</v>
      </c>
      <c r="AM21" s="140" t="s">
        <v>120</v>
      </c>
      <c r="AN21" s="143" t="s">
        <v>120</v>
      </c>
      <c r="AO21" s="144">
        <v>0</v>
      </c>
      <c r="AP21" s="148">
        <v>0</v>
      </c>
      <c r="AQ21" s="142">
        <f t="shared" si="5"/>
        <v>0</v>
      </c>
      <c r="AR21" s="140" t="s">
        <v>120</v>
      </c>
      <c r="AS21" s="143" t="s">
        <v>120</v>
      </c>
      <c r="AT21" s="144">
        <v>0</v>
      </c>
      <c r="AU21" s="149">
        <v>0</v>
      </c>
      <c r="AV21" s="145">
        <f t="shared" si="6"/>
        <v>0</v>
      </c>
      <c r="AW21" s="146"/>
      <c r="AX21" s="140" t="s">
        <v>120</v>
      </c>
      <c r="AY21" s="143" t="s">
        <v>120</v>
      </c>
      <c r="AZ21" s="144">
        <v>0</v>
      </c>
      <c r="BA21" s="149">
        <v>0</v>
      </c>
      <c r="BB21" s="145">
        <f t="shared" si="7"/>
        <v>0</v>
      </c>
      <c r="BC21" s="150"/>
      <c r="BD21" s="151">
        <f t="shared" si="8"/>
        <v>0</v>
      </c>
      <c r="BE21" s="152">
        <f t="shared" si="9"/>
        <v>0</v>
      </c>
      <c r="BF21" s="140" t="s">
        <v>120</v>
      </c>
      <c r="BG21" s="153" t="s">
        <v>120</v>
      </c>
      <c r="BH21" s="154" t="s">
        <v>120</v>
      </c>
      <c r="BI21" s="155" t="s">
        <v>120</v>
      </c>
      <c r="BJ21" s="156" t="s">
        <v>120</v>
      </c>
      <c r="BK21" s="157"/>
      <c r="BL21" s="158">
        <f>_xlfn.XLOOKUP(L21,[1]Auslegungsgrundlagen!$A$9:$A$100,[1]Auslegungsgrundlagen!$U$9:$U$100)</f>
        <v>30</v>
      </c>
      <c r="BM21" s="137">
        <v>0</v>
      </c>
      <c r="BN21" s="159">
        <v>0</v>
      </c>
      <c r="BO21" s="152">
        <f t="shared" si="10"/>
        <v>0.09</v>
      </c>
      <c r="BP21" s="140" t="s">
        <v>12</v>
      </c>
      <c r="BQ21" s="143">
        <v>150</v>
      </c>
      <c r="BR21" s="160">
        <v>1</v>
      </c>
      <c r="BS21" s="142">
        <f t="shared" si="11"/>
        <v>0.15</v>
      </c>
      <c r="BT21" s="140" t="s">
        <v>120</v>
      </c>
      <c r="BU21" s="143" t="s">
        <v>120</v>
      </c>
      <c r="BV21" s="160">
        <v>0</v>
      </c>
      <c r="BW21" s="145">
        <f t="shared" si="12"/>
        <v>0</v>
      </c>
      <c r="BX21" s="146"/>
      <c r="BY21" s="140" t="s">
        <v>120</v>
      </c>
      <c r="BZ21" s="143" t="s">
        <v>120</v>
      </c>
      <c r="CA21" s="160">
        <v>0</v>
      </c>
      <c r="CB21" s="145">
        <f t="shared" si="13"/>
        <v>0</v>
      </c>
      <c r="CC21" s="146"/>
      <c r="CD21" s="151">
        <f t="shared" si="14"/>
        <v>0.15</v>
      </c>
      <c r="CE21" s="161" t="s">
        <v>120</v>
      </c>
      <c r="CF21" s="162" t="s">
        <v>120</v>
      </c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ht="12.3">
      <c r="A22" s="128" t="s">
        <v>207</v>
      </c>
      <c r="B22" s="129">
        <v>4000</v>
      </c>
      <c r="C22" s="129">
        <v>49967</v>
      </c>
      <c r="D22" s="129"/>
      <c r="E22" s="129"/>
      <c r="F22" s="130"/>
      <c r="G22" s="131" t="s">
        <v>166</v>
      </c>
      <c r="H22" s="131" t="s">
        <v>120</v>
      </c>
      <c r="I22" s="131" t="s">
        <v>120</v>
      </c>
      <c r="J22" s="131" t="s">
        <v>208</v>
      </c>
      <c r="K22" s="131" t="s">
        <v>156</v>
      </c>
      <c r="L22" s="177">
        <v>17</v>
      </c>
      <c r="M22" s="131" t="str">
        <f>_xlfn.XLOOKUP(L22,[1]Auslegungsgrundlagen!$A$9:$A$100,[1]Auslegungsgrundlagen!$B$9:$B$100)</f>
        <v>Treppenhäuser/Magistrale</v>
      </c>
      <c r="N22" s="132">
        <v>73</v>
      </c>
      <c r="O22" s="132">
        <v>273.01</v>
      </c>
      <c r="P22" s="133">
        <v>0</v>
      </c>
      <c r="Q22" s="134"/>
      <c r="R22" s="135">
        <f>_xlfn.XLOOKUP(L22,[1]Auslegungsgrundlagen!$A$9:$A$100,[1]Auslegungsgrundlagen!$M$9:$M$100)</f>
        <v>0</v>
      </c>
      <c r="S22" s="136">
        <f>_xlfn.XLOOKUP(L22,[1]Auslegungsgrundlagen!$A$9:$A$100,[1]Auslegungsgrundlagen!$Q$9:$Q$100)*P22</f>
        <v>0</v>
      </c>
      <c r="T22" s="137">
        <v>0</v>
      </c>
      <c r="U22" s="137">
        <v>0</v>
      </c>
      <c r="V22" s="138">
        <v>0</v>
      </c>
      <c r="W22" s="139">
        <f t="shared" si="0"/>
        <v>0</v>
      </c>
      <c r="X22" s="140" t="s">
        <v>120</v>
      </c>
      <c r="Y22" s="137" t="s">
        <v>120</v>
      </c>
      <c r="Z22" s="141">
        <v>0</v>
      </c>
      <c r="AA22" s="142">
        <f t="shared" si="1"/>
        <v>0</v>
      </c>
      <c r="AB22" s="140" t="s">
        <v>120</v>
      </c>
      <c r="AC22" s="143" t="s">
        <v>120</v>
      </c>
      <c r="AD22" s="144">
        <v>0</v>
      </c>
      <c r="AE22" s="145">
        <f t="shared" si="2"/>
        <v>0</v>
      </c>
      <c r="AF22" s="146"/>
      <c r="AG22" s="140" t="s">
        <v>120</v>
      </c>
      <c r="AH22" s="143" t="s">
        <v>120</v>
      </c>
      <c r="AI22" s="144">
        <v>0</v>
      </c>
      <c r="AJ22" s="145">
        <f t="shared" si="3"/>
        <v>0</v>
      </c>
      <c r="AK22" s="146"/>
      <c r="AL22" s="147">
        <f t="shared" si="4"/>
        <v>0</v>
      </c>
      <c r="AM22" s="140" t="s">
        <v>120</v>
      </c>
      <c r="AN22" s="143" t="s">
        <v>120</v>
      </c>
      <c r="AO22" s="144">
        <v>0</v>
      </c>
      <c r="AP22" s="148">
        <v>0</v>
      </c>
      <c r="AQ22" s="142">
        <f t="shared" si="5"/>
        <v>0</v>
      </c>
      <c r="AR22" s="140" t="s">
        <v>120</v>
      </c>
      <c r="AS22" s="143" t="s">
        <v>120</v>
      </c>
      <c r="AT22" s="144">
        <v>0</v>
      </c>
      <c r="AU22" s="149">
        <v>0</v>
      </c>
      <c r="AV22" s="145">
        <f t="shared" si="6"/>
        <v>0</v>
      </c>
      <c r="AW22" s="146"/>
      <c r="AX22" s="140" t="s">
        <v>120</v>
      </c>
      <c r="AY22" s="143" t="s">
        <v>120</v>
      </c>
      <c r="AZ22" s="144">
        <v>0</v>
      </c>
      <c r="BA22" s="149">
        <v>0</v>
      </c>
      <c r="BB22" s="145">
        <f t="shared" si="7"/>
        <v>0</v>
      </c>
      <c r="BC22" s="150"/>
      <c r="BD22" s="151">
        <f t="shared" si="8"/>
        <v>0</v>
      </c>
      <c r="BE22" s="152">
        <f t="shared" si="9"/>
        <v>0</v>
      </c>
      <c r="BF22" s="140" t="s">
        <v>120</v>
      </c>
      <c r="BG22" s="153" t="s">
        <v>120</v>
      </c>
      <c r="BH22" s="154" t="s">
        <v>120</v>
      </c>
      <c r="BI22" s="155" t="s">
        <v>120</v>
      </c>
      <c r="BJ22" s="156" t="s">
        <v>120</v>
      </c>
      <c r="BK22" s="157"/>
      <c r="BL22" s="158">
        <f>_xlfn.XLOOKUP(L22,[1]Auslegungsgrundlagen!$A$9:$A$100,[1]Auslegungsgrundlagen!$U$9:$U$100)</f>
        <v>25</v>
      </c>
      <c r="BM22" s="137">
        <v>0</v>
      </c>
      <c r="BN22" s="159">
        <v>0</v>
      </c>
      <c r="BO22" s="152">
        <f t="shared" si="10"/>
        <v>1.83</v>
      </c>
      <c r="BP22" s="140" t="s">
        <v>12</v>
      </c>
      <c r="BQ22" s="143">
        <f t="shared" ref="BQ22" si="17">BO22*1000</f>
        <v>1830</v>
      </c>
      <c r="BR22" s="160">
        <v>1</v>
      </c>
      <c r="BS22" s="142">
        <f t="shared" si="11"/>
        <v>1.83</v>
      </c>
      <c r="BT22" s="140" t="s">
        <v>120</v>
      </c>
      <c r="BU22" s="143" t="s">
        <v>120</v>
      </c>
      <c r="BV22" s="160">
        <v>0</v>
      </c>
      <c r="BW22" s="145">
        <f t="shared" si="12"/>
        <v>0</v>
      </c>
      <c r="BX22" s="146"/>
      <c r="BY22" s="140" t="s">
        <v>120</v>
      </c>
      <c r="BZ22" s="143" t="s">
        <v>120</v>
      </c>
      <c r="CA22" s="160">
        <v>0</v>
      </c>
      <c r="CB22" s="145">
        <f t="shared" si="13"/>
        <v>0</v>
      </c>
      <c r="CC22" s="146"/>
      <c r="CD22" s="151">
        <f t="shared" si="14"/>
        <v>1.83</v>
      </c>
      <c r="CE22" s="161" t="s">
        <v>120</v>
      </c>
      <c r="CF22" s="162" t="s">
        <v>120</v>
      </c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ht="12.3">
      <c r="A23" s="128" t="s">
        <v>201</v>
      </c>
      <c r="B23" s="129">
        <v>4000</v>
      </c>
      <c r="C23" s="129">
        <v>12335</v>
      </c>
      <c r="D23" s="129"/>
      <c r="E23" s="129"/>
      <c r="F23" s="130"/>
      <c r="G23" s="131" t="s">
        <v>166</v>
      </c>
      <c r="H23" s="131" t="s">
        <v>120</v>
      </c>
      <c r="I23" s="131" t="s">
        <v>120</v>
      </c>
      <c r="J23" s="131" t="s">
        <v>202</v>
      </c>
      <c r="K23" s="131" t="s">
        <v>203</v>
      </c>
      <c r="L23" s="177">
        <v>8</v>
      </c>
      <c r="M23" s="131" t="str">
        <f>_xlfn.XLOOKUP(L23,[1]Auslegungsgrundlagen!$A$9:$A$100,[1]Auslegungsgrundlagen!$B$9:$B$100)</f>
        <v>WCs</v>
      </c>
      <c r="N23" s="132">
        <v>9</v>
      </c>
      <c r="O23" s="132">
        <v>35.54</v>
      </c>
      <c r="P23" s="133">
        <v>0</v>
      </c>
      <c r="Q23" s="134"/>
      <c r="R23" s="135">
        <f>_xlfn.XLOOKUP(L23,[1]Auslegungsgrundlagen!$A$9:$A$100,[1]Auslegungsgrundlagen!$M$9:$M$100)</f>
        <v>0</v>
      </c>
      <c r="S23" s="136">
        <f>_xlfn.XLOOKUP(L23,[1]Auslegungsgrundlagen!$A$9:$A$100,[1]Auslegungsgrundlagen!$Q$9:$Q$100)*P23</f>
        <v>0</v>
      </c>
      <c r="T23" s="137">
        <v>0</v>
      </c>
      <c r="U23" s="137">
        <v>0</v>
      </c>
      <c r="V23" s="138">
        <v>0</v>
      </c>
      <c r="W23" s="139">
        <f t="shared" si="0"/>
        <v>0</v>
      </c>
      <c r="X23" s="140" t="s">
        <v>120</v>
      </c>
      <c r="Y23" s="137" t="s">
        <v>120</v>
      </c>
      <c r="Z23" s="141">
        <v>0</v>
      </c>
      <c r="AA23" s="142">
        <f t="shared" si="1"/>
        <v>0</v>
      </c>
      <c r="AB23" s="140" t="s">
        <v>120</v>
      </c>
      <c r="AC23" s="143" t="s">
        <v>120</v>
      </c>
      <c r="AD23" s="144">
        <v>0</v>
      </c>
      <c r="AE23" s="145">
        <f t="shared" si="2"/>
        <v>0</v>
      </c>
      <c r="AF23" s="146"/>
      <c r="AG23" s="140" t="s">
        <v>120</v>
      </c>
      <c r="AH23" s="143" t="s">
        <v>120</v>
      </c>
      <c r="AI23" s="144">
        <v>0</v>
      </c>
      <c r="AJ23" s="145">
        <f t="shared" si="3"/>
        <v>0</v>
      </c>
      <c r="AK23" s="146"/>
      <c r="AL23" s="147">
        <f t="shared" si="4"/>
        <v>0</v>
      </c>
      <c r="AM23" s="140" t="s">
        <v>120</v>
      </c>
      <c r="AN23" s="143" t="s">
        <v>120</v>
      </c>
      <c r="AO23" s="144">
        <v>0</v>
      </c>
      <c r="AP23" s="148">
        <v>0</v>
      </c>
      <c r="AQ23" s="142">
        <f t="shared" si="5"/>
        <v>0</v>
      </c>
      <c r="AR23" s="140" t="s">
        <v>120</v>
      </c>
      <c r="AS23" s="143" t="s">
        <v>120</v>
      </c>
      <c r="AT23" s="144">
        <v>0</v>
      </c>
      <c r="AU23" s="149">
        <v>0</v>
      </c>
      <c r="AV23" s="145">
        <f t="shared" si="6"/>
        <v>0</v>
      </c>
      <c r="AW23" s="146"/>
      <c r="AX23" s="140" t="s">
        <v>120</v>
      </c>
      <c r="AY23" s="143" t="s">
        <v>120</v>
      </c>
      <c r="AZ23" s="144">
        <v>0</v>
      </c>
      <c r="BA23" s="149">
        <v>0</v>
      </c>
      <c r="BB23" s="145">
        <f t="shared" si="7"/>
        <v>0</v>
      </c>
      <c r="BC23" s="150"/>
      <c r="BD23" s="151">
        <f t="shared" si="8"/>
        <v>0</v>
      </c>
      <c r="BE23" s="152">
        <f t="shared" si="9"/>
        <v>0</v>
      </c>
      <c r="BF23" s="140" t="s">
        <v>120</v>
      </c>
      <c r="BG23" s="153" t="s">
        <v>120</v>
      </c>
      <c r="BH23" s="154" t="s">
        <v>120</v>
      </c>
      <c r="BI23" s="155" t="s">
        <v>120</v>
      </c>
      <c r="BJ23" s="156" t="s">
        <v>120</v>
      </c>
      <c r="BK23" s="157"/>
      <c r="BL23" s="158">
        <f>_xlfn.XLOOKUP(L23,[1]Auslegungsgrundlagen!$A$9:$A$100,[1]Auslegungsgrundlagen!$U$9:$U$100)</f>
        <v>30</v>
      </c>
      <c r="BM23" s="137">
        <v>0</v>
      </c>
      <c r="BN23" s="159">
        <v>0</v>
      </c>
      <c r="BO23" s="152">
        <f t="shared" si="10"/>
        <v>0.27</v>
      </c>
      <c r="BP23" s="140" t="s">
        <v>12</v>
      </c>
      <c r="BQ23" s="143">
        <f>BO23*1000</f>
        <v>270</v>
      </c>
      <c r="BR23" s="160">
        <v>1</v>
      </c>
      <c r="BS23" s="142">
        <f t="shared" si="11"/>
        <v>0.27</v>
      </c>
      <c r="BT23" s="140" t="s">
        <v>120</v>
      </c>
      <c r="BU23" s="143" t="s">
        <v>120</v>
      </c>
      <c r="BV23" s="160">
        <v>0</v>
      </c>
      <c r="BW23" s="145">
        <f t="shared" si="12"/>
        <v>0</v>
      </c>
      <c r="BX23" s="146"/>
      <c r="BY23" s="140" t="s">
        <v>120</v>
      </c>
      <c r="BZ23" s="143" t="s">
        <v>120</v>
      </c>
      <c r="CA23" s="160">
        <v>0</v>
      </c>
      <c r="CB23" s="145">
        <f t="shared" si="13"/>
        <v>0</v>
      </c>
      <c r="CC23" s="146"/>
      <c r="CD23" s="151">
        <f t="shared" si="14"/>
        <v>0.27</v>
      </c>
      <c r="CE23" s="161" t="s">
        <v>120</v>
      </c>
      <c r="CF23" s="162" t="s">
        <v>120</v>
      </c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ht="12.3">
      <c r="A24" s="128" t="s">
        <v>187</v>
      </c>
      <c r="B24" s="129">
        <v>4000</v>
      </c>
      <c r="C24" s="129">
        <v>11815</v>
      </c>
      <c r="D24" s="129"/>
      <c r="E24" s="129"/>
      <c r="F24" s="130"/>
      <c r="G24" s="131" t="s">
        <v>166</v>
      </c>
      <c r="H24" s="131" t="s">
        <v>120</v>
      </c>
      <c r="I24" s="131" t="s">
        <v>120</v>
      </c>
      <c r="J24" s="131" t="s">
        <v>188</v>
      </c>
      <c r="K24" s="131" t="s">
        <v>122</v>
      </c>
      <c r="L24" s="177">
        <v>19</v>
      </c>
      <c r="M24" s="131" t="str">
        <f>_xlfn.XLOOKUP(L24,[1]Auslegungsgrundlagen!$A$9:$A$100,[1]Auslegungsgrundlagen!$B$9:$B$100)</f>
        <v>Aufzüge</v>
      </c>
      <c r="N24" s="132">
        <v>9</v>
      </c>
      <c r="O24" s="132">
        <v>32.71</v>
      </c>
      <c r="P24" s="133">
        <v>0</v>
      </c>
      <c r="Q24" s="134"/>
      <c r="R24" s="135">
        <f>_xlfn.XLOOKUP(L24,[1]Auslegungsgrundlagen!$A$9:$A$100,[1]Auslegungsgrundlagen!$M$9:$M$100)</f>
        <v>0</v>
      </c>
      <c r="S24" s="136">
        <f>_xlfn.XLOOKUP(L24,[1]Auslegungsgrundlagen!$A$9:$A$100,[1]Auslegungsgrundlagen!$Q$9:$Q$100)*P24</f>
        <v>0</v>
      </c>
      <c r="T24" s="137">
        <v>0</v>
      </c>
      <c r="U24" s="137">
        <v>0</v>
      </c>
      <c r="V24" s="138">
        <v>0</v>
      </c>
      <c r="W24" s="139">
        <f t="shared" si="0"/>
        <v>0</v>
      </c>
      <c r="X24" s="140" t="s">
        <v>120</v>
      </c>
      <c r="Y24" s="137" t="s">
        <v>120</v>
      </c>
      <c r="Z24" s="141">
        <v>0</v>
      </c>
      <c r="AA24" s="142">
        <f t="shared" si="1"/>
        <v>0</v>
      </c>
      <c r="AB24" s="140" t="s">
        <v>120</v>
      </c>
      <c r="AC24" s="143" t="s">
        <v>120</v>
      </c>
      <c r="AD24" s="144">
        <v>0</v>
      </c>
      <c r="AE24" s="145">
        <f t="shared" si="2"/>
        <v>0</v>
      </c>
      <c r="AF24" s="146"/>
      <c r="AG24" s="140" t="s">
        <v>120</v>
      </c>
      <c r="AH24" s="143" t="s">
        <v>120</v>
      </c>
      <c r="AI24" s="144">
        <v>0</v>
      </c>
      <c r="AJ24" s="145">
        <f t="shared" si="3"/>
        <v>0</v>
      </c>
      <c r="AK24" s="146"/>
      <c r="AL24" s="147">
        <f t="shared" si="4"/>
        <v>0</v>
      </c>
      <c r="AM24" s="140" t="s">
        <v>120</v>
      </c>
      <c r="AN24" s="143" t="s">
        <v>120</v>
      </c>
      <c r="AO24" s="144">
        <v>0</v>
      </c>
      <c r="AP24" s="148">
        <v>0</v>
      </c>
      <c r="AQ24" s="142">
        <f t="shared" si="5"/>
        <v>0</v>
      </c>
      <c r="AR24" s="140" t="s">
        <v>120</v>
      </c>
      <c r="AS24" s="143" t="s">
        <v>120</v>
      </c>
      <c r="AT24" s="144">
        <v>0</v>
      </c>
      <c r="AU24" s="149">
        <v>0</v>
      </c>
      <c r="AV24" s="145">
        <f t="shared" si="6"/>
        <v>0</v>
      </c>
      <c r="AW24" s="146"/>
      <c r="AX24" s="140" t="s">
        <v>120</v>
      </c>
      <c r="AY24" s="143" t="s">
        <v>120</v>
      </c>
      <c r="AZ24" s="144">
        <v>0</v>
      </c>
      <c r="BA24" s="149">
        <v>0</v>
      </c>
      <c r="BB24" s="145">
        <f t="shared" si="7"/>
        <v>0</v>
      </c>
      <c r="BC24" s="150"/>
      <c r="BD24" s="151">
        <f t="shared" si="8"/>
        <v>0</v>
      </c>
      <c r="BE24" s="152">
        <f t="shared" si="9"/>
        <v>0</v>
      </c>
      <c r="BF24" s="140" t="s">
        <v>120</v>
      </c>
      <c r="BG24" s="153" t="s">
        <v>120</v>
      </c>
      <c r="BH24" s="154" t="s">
        <v>120</v>
      </c>
      <c r="BI24" s="155" t="s">
        <v>120</v>
      </c>
      <c r="BJ24" s="156" t="s">
        <v>120</v>
      </c>
      <c r="BK24" s="157"/>
      <c r="BL24" s="158">
        <f>_xlfn.XLOOKUP(L24,[1]Auslegungsgrundlagen!$A$9:$A$100,[1]Auslegungsgrundlagen!$U$9:$U$100)</f>
        <v>0</v>
      </c>
      <c r="BM24" s="137">
        <v>0</v>
      </c>
      <c r="BN24" s="159">
        <v>0</v>
      </c>
      <c r="BO24" s="152">
        <f t="shared" si="10"/>
        <v>0</v>
      </c>
      <c r="BP24" s="140" t="s">
        <v>120</v>
      </c>
      <c r="BQ24" s="143" t="s">
        <v>120</v>
      </c>
      <c r="BR24" s="160">
        <v>0</v>
      </c>
      <c r="BS24" s="142">
        <f t="shared" si="11"/>
        <v>0</v>
      </c>
      <c r="BT24" s="140" t="s">
        <v>120</v>
      </c>
      <c r="BU24" s="143" t="s">
        <v>120</v>
      </c>
      <c r="BV24" s="160">
        <v>0</v>
      </c>
      <c r="BW24" s="145">
        <f t="shared" si="12"/>
        <v>0</v>
      </c>
      <c r="BX24" s="146"/>
      <c r="BY24" s="140" t="s">
        <v>120</v>
      </c>
      <c r="BZ24" s="143" t="s">
        <v>120</v>
      </c>
      <c r="CA24" s="160">
        <v>0</v>
      </c>
      <c r="CB24" s="145">
        <f t="shared" si="13"/>
        <v>0</v>
      </c>
      <c r="CC24" s="146"/>
      <c r="CD24" s="151">
        <f t="shared" si="14"/>
        <v>0</v>
      </c>
      <c r="CE24" s="161" t="s">
        <v>120</v>
      </c>
      <c r="CF24" s="162" t="s">
        <v>120</v>
      </c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ht="12.3">
      <c r="A25" s="128" t="s">
        <v>172</v>
      </c>
      <c r="B25" s="129">
        <v>4000</v>
      </c>
      <c r="C25" s="129">
        <v>7328</v>
      </c>
      <c r="D25" s="129"/>
      <c r="E25" s="129"/>
      <c r="F25" s="130"/>
      <c r="G25" s="131" t="s">
        <v>166</v>
      </c>
      <c r="H25" s="131" t="s">
        <v>120</v>
      </c>
      <c r="I25" s="131" t="s">
        <v>120</v>
      </c>
      <c r="J25" s="131" t="s">
        <v>173</v>
      </c>
      <c r="K25" s="131" t="s">
        <v>174</v>
      </c>
      <c r="L25" s="177">
        <v>8</v>
      </c>
      <c r="M25" s="131" t="str">
        <f>_xlfn.XLOOKUP(L25,[1]Auslegungsgrundlagen!$A$9:$A$100,[1]Auslegungsgrundlagen!$B$9:$B$100)</f>
        <v>WCs</v>
      </c>
      <c r="N25" s="132">
        <v>3</v>
      </c>
      <c r="O25" s="132">
        <v>12.57</v>
      </c>
      <c r="P25" s="133">
        <v>0</v>
      </c>
      <c r="Q25" s="134"/>
      <c r="R25" s="135">
        <f>_xlfn.XLOOKUP(L25,[1]Auslegungsgrundlagen!$A$9:$A$100,[1]Auslegungsgrundlagen!$M$9:$M$100)</f>
        <v>0</v>
      </c>
      <c r="S25" s="136">
        <f>_xlfn.XLOOKUP(L25,[1]Auslegungsgrundlagen!$A$9:$A$100,[1]Auslegungsgrundlagen!$Q$9:$Q$100)*P25</f>
        <v>0</v>
      </c>
      <c r="T25" s="137">
        <v>0</v>
      </c>
      <c r="U25" s="137">
        <v>0</v>
      </c>
      <c r="V25" s="138">
        <v>0</v>
      </c>
      <c r="W25" s="139">
        <f t="shared" si="0"/>
        <v>0</v>
      </c>
      <c r="X25" s="140" t="s">
        <v>120</v>
      </c>
      <c r="Y25" s="137" t="s">
        <v>120</v>
      </c>
      <c r="Z25" s="141">
        <v>0</v>
      </c>
      <c r="AA25" s="142">
        <f t="shared" si="1"/>
        <v>0</v>
      </c>
      <c r="AB25" s="140" t="s">
        <v>120</v>
      </c>
      <c r="AC25" s="143" t="s">
        <v>120</v>
      </c>
      <c r="AD25" s="144">
        <v>0</v>
      </c>
      <c r="AE25" s="145">
        <f t="shared" si="2"/>
        <v>0</v>
      </c>
      <c r="AF25" s="146"/>
      <c r="AG25" s="140" t="s">
        <v>120</v>
      </c>
      <c r="AH25" s="143" t="s">
        <v>120</v>
      </c>
      <c r="AI25" s="144">
        <v>0</v>
      </c>
      <c r="AJ25" s="145">
        <f t="shared" si="3"/>
        <v>0</v>
      </c>
      <c r="AK25" s="146"/>
      <c r="AL25" s="147">
        <f t="shared" si="4"/>
        <v>0</v>
      </c>
      <c r="AM25" s="140" t="s">
        <v>120</v>
      </c>
      <c r="AN25" s="143" t="s">
        <v>120</v>
      </c>
      <c r="AO25" s="144">
        <v>0</v>
      </c>
      <c r="AP25" s="148">
        <v>0</v>
      </c>
      <c r="AQ25" s="142">
        <f t="shared" si="5"/>
        <v>0</v>
      </c>
      <c r="AR25" s="140" t="s">
        <v>120</v>
      </c>
      <c r="AS25" s="143" t="s">
        <v>120</v>
      </c>
      <c r="AT25" s="144">
        <v>0</v>
      </c>
      <c r="AU25" s="149">
        <v>0</v>
      </c>
      <c r="AV25" s="145">
        <f t="shared" si="6"/>
        <v>0</v>
      </c>
      <c r="AW25" s="146"/>
      <c r="AX25" s="140" t="s">
        <v>120</v>
      </c>
      <c r="AY25" s="143" t="s">
        <v>120</v>
      </c>
      <c r="AZ25" s="144">
        <v>0</v>
      </c>
      <c r="BA25" s="149">
        <v>0</v>
      </c>
      <c r="BB25" s="145">
        <f t="shared" si="7"/>
        <v>0</v>
      </c>
      <c r="BC25" s="150"/>
      <c r="BD25" s="151">
        <f t="shared" si="8"/>
        <v>0</v>
      </c>
      <c r="BE25" s="152">
        <f t="shared" si="9"/>
        <v>0</v>
      </c>
      <c r="BF25" s="140" t="s">
        <v>120</v>
      </c>
      <c r="BG25" s="153" t="s">
        <v>120</v>
      </c>
      <c r="BH25" s="154" t="s">
        <v>120</v>
      </c>
      <c r="BI25" s="155" t="s">
        <v>120</v>
      </c>
      <c r="BJ25" s="156" t="s">
        <v>120</v>
      </c>
      <c r="BK25" s="157"/>
      <c r="BL25" s="158">
        <f>_xlfn.XLOOKUP(L25,[1]Auslegungsgrundlagen!$A$9:$A$100,[1]Auslegungsgrundlagen!$U$9:$U$100)</f>
        <v>30</v>
      </c>
      <c r="BM25" s="137">
        <v>0</v>
      </c>
      <c r="BN25" s="159">
        <v>0</v>
      </c>
      <c r="BO25" s="152">
        <f t="shared" si="10"/>
        <v>0.09</v>
      </c>
      <c r="BP25" s="140"/>
      <c r="BQ25" s="143"/>
      <c r="BR25" s="160">
        <v>0</v>
      </c>
      <c r="BS25" s="142">
        <f t="shared" si="11"/>
        <v>0</v>
      </c>
      <c r="BT25" s="140" t="s">
        <v>120</v>
      </c>
      <c r="BU25" s="143" t="s">
        <v>120</v>
      </c>
      <c r="BV25" s="160">
        <v>0</v>
      </c>
      <c r="BW25" s="145">
        <f t="shared" si="12"/>
        <v>0</v>
      </c>
      <c r="BX25" s="146"/>
      <c r="BY25" s="140" t="s">
        <v>120</v>
      </c>
      <c r="BZ25" s="143" t="s">
        <v>120</v>
      </c>
      <c r="CA25" s="160">
        <v>0</v>
      </c>
      <c r="CB25" s="145">
        <f t="shared" si="13"/>
        <v>0</v>
      </c>
      <c r="CC25" s="146"/>
      <c r="CD25" s="151">
        <f t="shared" si="14"/>
        <v>0</v>
      </c>
      <c r="CE25" s="161" t="s">
        <v>120</v>
      </c>
      <c r="CF25" s="162" t="s">
        <v>120</v>
      </c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ht="12.3">
      <c r="A26" s="128" t="s">
        <v>169</v>
      </c>
      <c r="B26" s="129">
        <v>4000</v>
      </c>
      <c r="C26" s="129">
        <v>5317</v>
      </c>
      <c r="D26" s="129"/>
      <c r="E26" s="129"/>
      <c r="F26" s="130"/>
      <c r="G26" s="131" t="s">
        <v>166</v>
      </c>
      <c r="H26" s="131" t="s">
        <v>120</v>
      </c>
      <c r="I26" s="131" t="s">
        <v>120</v>
      </c>
      <c r="J26" s="131" t="s">
        <v>170</v>
      </c>
      <c r="K26" s="131" t="s">
        <v>171</v>
      </c>
      <c r="L26" s="177">
        <v>10</v>
      </c>
      <c r="M26" s="131" t="str">
        <f>_xlfn.XLOOKUP(L26,[1]Auslegungsgrundlagen!$A$9:$A$100,[1]Auslegungsgrundlagen!$B$9:$B$100)</f>
        <v>Putzmittel/ Lager</v>
      </c>
      <c r="N26" s="132">
        <v>2</v>
      </c>
      <c r="O26" s="132">
        <v>5.94</v>
      </c>
      <c r="P26" s="133">
        <v>0</v>
      </c>
      <c r="Q26" s="134"/>
      <c r="R26" s="135">
        <f>_xlfn.XLOOKUP(L26,[1]Auslegungsgrundlagen!$A$9:$A$100,[1]Auslegungsgrundlagen!$M$9:$M$100)</f>
        <v>0</v>
      </c>
      <c r="S26" s="136">
        <f>_xlfn.XLOOKUP(L26,[1]Auslegungsgrundlagen!$A$9:$A$100,[1]Auslegungsgrundlagen!$Q$9:$Q$100)*P26</f>
        <v>0</v>
      </c>
      <c r="T26" s="137">
        <v>0</v>
      </c>
      <c r="U26" s="137">
        <v>0</v>
      </c>
      <c r="V26" s="138">
        <v>0</v>
      </c>
      <c r="W26" s="139">
        <f t="shared" si="0"/>
        <v>0</v>
      </c>
      <c r="X26" s="140" t="s">
        <v>120</v>
      </c>
      <c r="Y26" s="137" t="s">
        <v>120</v>
      </c>
      <c r="Z26" s="141">
        <v>0</v>
      </c>
      <c r="AA26" s="142">
        <f t="shared" si="1"/>
        <v>0</v>
      </c>
      <c r="AB26" s="140" t="s">
        <v>120</v>
      </c>
      <c r="AC26" s="143" t="s">
        <v>120</v>
      </c>
      <c r="AD26" s="144">
        <v>0</v>
      </c>
      <c r="AE26" s="145">
        <f t="shared" si="2"/>
        <v>0</v>
      </c>
      <c r="AF26" s="146"/>
      <c r="AG26" s="140" t="s">
        <v>120</v>
      </c>
      <c r="AH26" s="143" t="s">
        <v>120</v>
      </c>
      <c r="AI26" s="144">
        <v>0</v>
      </c>
      <c r="AJ26" s="145">
        <f t="shared" si="3"/>
        <v>0</v>
      </c>
      <c r="AK26" s="146"/>
      <c r="AL26" s="147">
        <f t="shared" si="4"/>
        <v>0</v>
      </c>
      <c r="AM26" s="140" t="s">
        <v>120</v>
      </c>
      <c r="AN26" s="143" t="s">
        <v>120</v>
      </c>
      <c r="AO26" s="144">
        <v>0</v>
      </c>
      <c r="AP26" s="148">
        <v>0</v>
      </c>
      <c r="AQ26" s="142">
        <f t="shared" si="5"/>
        <v>0</v>
      </c>
      <c r="AR26" s="140" t="s">
        <v>120</v>
      </c>
      <c r="AS26" s="143" t="s">
        <v>120</v>
      </c>
      <c r="AT26" s="144">
        <v>0</v>
      </c>
      <c r="AU26" s="149">
        <v>0</v>
      </c>
      <c r="AV26" s="145">
        <f t="shared" si="6"/>
        <v>0</v>
      </c>
      <c r="AW26" s="146"/>
      <c r="AX26" s="140" t="s">
        <v>120</v>
      </c>
      <c r="AY26" s="143" t="s">
        <v>120</v>
      </c>
      <c r="AZ26" s="144">
        <v>0</v>
      </c>
      <c r="BA26" s="149">
        <v>0</v>
      </c>
      <c r="BB26" s="145">
        <f t="shared" si="7"/>
        <v>0</v>
      </c>
      <c r="BC26" s="150"/>
      <c r="BD26" s="151">
        <f t="shared" si="8"/>
        <v>0</v>
      </c>
      <c r="BE26" s="152">
        <f t="shared" si="9"/>
        <v>0</v>
      </c>
      <c r="BF26" s="140" t="s">
        <v>120</v>
      </c>
      <c r="BG26" s="153" t="s">
        <v>120</v>
      </c>
      <c r="BH26" s="154" t="s">
        <v>120</v>
      </c>
      <c r="BI26" s="155" t="s">
        <v>120</v>
      </c>
      <c r="BJ26" s="156" t="s">
        <v>120</v>
      </c>
      <c r="BK26" s="157"/>
      <c r="BL26" s="158">
        <f>_xlfn.XLOOKUP(L26,[1]Auslegungsgrundlagen!$A$9:$A$100,[1]Auslegungsgrundlagen!$U$9:$U$100)</f>
        <v>15</v>
      </c>
      <c r="BM26" s="137">
        <v>0</v>
      </c>
      <c r="BN26" s="159">
        <v>0</v>
      </c>
      <c r="BO26" s="152">
        <f t="shared" si="10"/>
        <v>0.03</v>
      </c>
      <c r="BP26" s="140"/>
      <c r="BQ26" s="143"/>
      <c r="BR26" s="160"/>
      <c r="BS26" s="142">
        <f t="shared" si="11"/>
        <v>0</v>
      </c>
      <c r="BT26" s="140" t="s">
        <v>120</v>
      </c>
      <c r="BU26" s="143" t="s">
        <v>120</v>
      </c>
      <c r="BV26" s="160">
        <v>0</v>
      </c>
      <c r="BW26" s="145">
        <f t="shared" si="12"/>
        <v>0</v>
      </c>
      <c r="BX26" s="146"/>
      <c r="BY26" s="140" t="s">
        <v>120</v>
      </c>
      <c r="BZ26" s="143" t="s">
        <v>120</v>
      </c>
      <c r="CA26" s="160">
        <v>0</v>
      </c>
      <c r="CB26" s="145">
        <f t="shared" si="13"/>
        <v>0</v>
      </c>
      <c r="CC26" s="146"/>
      <c r="CD26" s="151">
        <f t="shared" si="14"/>
        <v>0</v>
      </c>
      <c r="CE26" s="161" t="s">
        <v>120</v>
      </c>
      <c r="CF26" s="162" t="s">
        <v>120</v>
      </c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ht="12.3">
      <c r="A27" s="128" t="s">
        <v>185</v>
      </c>
      <c r="B27" s="129">
        <v>4000</v>
      </c>
      <c r="C27" s="129">
        <v>5515</v>
      </c>
      <c r="D27" s="129"/>
      <c r="E27" s="129"/>
      <c r="F27" s="130"/>
      <c r="G27" s="131" t="s">
        <v>166</v>
      </c>
      <c r="H27" s="131" t="s">
        <v>120</v>
      </c>
      <c r="I27" s="131" t="s">
        <v>120</v>
      </c>
      <c r="J27" s="131" t="s">
        <v>186</v>
      </c>
      <c r="K27" s="131" t="s">
        <v>184</v>
      </c>
      <c r="L27" s="177">
        <v>8</v>
      </c>
      <c r="M27" s="131" t="str">
        <f>_xlfn.XLOOKUP(L27,[1]Auslegungsgrundlagen!$A$9:$A$100,[1]Auslegungsgrundlagen!$B$9:$B$100)</f>
        <v>WCs</v>
      </c>
      <c r="N27" s="132">
        <v>2</v>
      </c>
      <c r="O27" s="132">
        <v>6.59</v>
      </c>
      <c r="P27" s="133">
        <v>0</v>
      </c>
      <c r="Q27" s="134"/>
      <c r="R27" s="135">
        <f>_xlfn.XLOOKUP(L27,[1]Auslegungsgrundlagen!$A$9:$A$100,[1]Auslegungsgrundlagen!$M$9:$M$100)</f>
        <v>0</v>
      </c>
      <c r="S27" s="136">
        <f>_xlfn.XLOOKUP(L27,[1]Auslegungsgrundlagen!$A$9:$A$100,[1]Auslegungsgrundlagen!$Q$9:$Q$100)*P27</f>
        <v>0</v>
      </c>
      <c r="T27" s="137">
        <v>0</v>
      </c>
      <c r="U27" s="137">
        <v>0</v>
      </c>
      <c r="V27" s="138">
        <v>0</v>
      </c>
      <c r="W27" s="139">
        <f t="shared" si="0"/>
        <v>0</v>
      </c>
      <c r="X27" s="140" t="s">
        <v>120</v>
      </c>
      <c r="Y27" s="137" t="s">
        <v>120</v>
      </c>
      <c r="Z27" s="141">
        <v>0</v>
      </c>
      <c r="AA27" s="142">
        <f t="shared" si="1"/>
        <v>0</v>
      </c>
      <c r="AB27" s="140" t="s">
        <v>120</v>
      </c>
      <c r="AC27" s="143" t="s">
        <v>120</v>
      </c>
      <c r="AD27" s="144">
        <v>0</v>
      </c>
      <c r="AE27" s="145">
        <f t="shared" si="2"/>
        <v>0</v>
      </c>
      <c r="AF27" s="146"/>
      <c r="AG27" s="140" t="s">
        <v>120</v>
      </c>
      <c r="AH27" s="143" t="s">
        <v>120</v>
      </c>
      <c r="AI27" s="144">
        <v>0</v>
      </c>
      <c r="AJ27" s="145">
        <f t="shared" si="3"/>
        <v>0</v>
      </c>
      <c r="AK27" s="146"/>
      <c r="AL27" s="147">
        <f t="shared" si="4"/>
        <v>0</v>
      </c>
      <c r="AM27" s="140" t="s">
        <v>120</v>
      </c>
      <c r="AN27" s="143" t="s">
        <v>120</v>
      </c>
      <c r="AO27" s="144">
        <v>0</v>
      </c>
      <c r="AP27" s="148">
        <v>0</v>
      </c>
      <c r="AQ27" s="142">
        <f t="shared" si="5"/>
        <v>0</v>
      </c>
      <c r="AR27" s="140" t="s">
        <v>120</v>
      </c>
      <c r="AS27" s="143" t="s">
        <v>120</v>
      </c>
      <c r="AT27" s="144">
        <v>0</v>
      </c>
      <c r="AU27" s="149">
        <v>0</v>
      </c>
      <c r="AV27" s="145">
        <f t="shared" si="6"/>
        <v>0</v>
      </c>
      <c r="AW27" s="146"/>
      <c r="AX27" s="140" t="s">
        <v>120</v>
      </c>
      <c r="AY27" s="143" t="s">
        <v>120</v>
      </c>
      <c r="AZ27" s="144">
        <v>0</v>
      </c>
      <c r="BA27" s="149">
        <v>0</v>
      </c>
      <c r="BB27" s="145">
        <f t="shared" si="7"/>
        <v>0</v>
      </c>
      <c r="BC27" s="150"/>
      <c r="BD27" s="151">
        <f t="shared" si="8"/>
        <v>0</v>
      </c>
      <c r="BE27" s="152">
        <f t="shared" si="9"/>
        <v>0</v>
      </c>
      <c r="BF27" s="140" t="s">
        <v>120</v>
      </c>
      <c r="BG27" s="153" t="s">
        <v>120</v>
      </c>
      <c r="BH27" s="154" t="s">
        <v>120</v>
      </c>
      <c r="BI27" s="155" t="s">
        <v>120</v>
      </c>
      <c r="BJ27" s="156" t="s">
        <v>120</v>
      </c>
      <c r="BK27" s="157"/>
      <c r="BL27" s="158">
        <f>_xlfn.XLOOKUP(L27,[1]Auslegungsgrundlagen!$A$9:$A$100,[1]Auslegungsgrundlagen!$U$9:$U$100)</f>
        <v>30</v>
      </c>
      <c r="BM27" s="137">
        <v>0</v>
      </c>
      <c r="BN27" s="159">
        <v>0</v>
      </c>
      <c r="BO27" s="152">
        <f t="shared" si="10"/>
        <v>0.06</v>
      </c>
      <c r="BP27" s="140" t="s">
        <v>12</v>
      </c>
      <c r="BQ27" s="143"/>
      <c r="BR27" s="160"/>
      <c r="BS27" s="142">
        <f t="shared" si="11"/>
        <v>0</v>
      </c>
      <c r="BT27" s="140" t="s">
        <v>120</v>
      </c>
      <c r="BU27" s="143" t="s">
        <v>120</v>
      </c>
      <c r="BV27" s="160">
        <v>0</v>
      </c>
      <c r="BW27" s="145">
        <f t="shared" si="12"/>
        <v>0</v>
      </c>
      <c r="BX27" s="146"/>
      <c r="BY27" s="140" t="s">
        <v>120</v>
      </c>
      <c r="BZ27" s="143" t="s">
        <v>120</v>
      </c>
      <c r="CA27" s="160">
        <v>0</v>
      </c>
      <c r="CB27" s="145">
        <f t="shared" si="13"/>
        <v>0</v>
      </c>
      <c r="CC27" s="146"/>
      <c r="CD27" s="151">
        <f t="shared" si="14"/>
        <v>0</v>
      </c>
      <c r="CE27" s="161" t="s">
        <v>120</v>
      </c>
      <c r="CF27" s="162" t="s">
        <v>120</v>
      </c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ht="12.3">
      <c r="A28" s="128" t="s">
        <v>198</v>
      </c>
      <c r="B28" s="129">
        <v>4000</v>
      </c>
      <c r="C28" s="129">
        <v>34352</v>
      </c>
      <c r="D28" s="129"/>
      <c r="E28" s="129"/>
      <c r="F28" s="130"/>
      <c r="G28" s="131" t="s">
        <v>166</v>
      </c>
      <c r="H28" s="131" t="s">
        <v>120</v>
      </c>
      <c r="I28" s="131" t="s">
        <v>120</v>
      </c>
      <c r="J28" s="131" t="s">
        <v>199</v>
      </c>
      <c r="K28" s="131" t="s">
        <v>200</v>
      </c>
      <c r="L28" s="177">
        <v>17</v>
      </c>
      <c r="M28" s="131" t="str">
        <f>_xlfn.XLOOKUP(L28,[1]Auslegungsgrundlagen!$A$9:$A$100,[1]Auslegungsgrundlagen!$B$9:$B$100)</f>
        <v>Treppenhäuser/Magistrale</v>
      </c>
      <c r="N28" s="132">
        <v>41</v>
      </c>
      <c r="O28" s="132">
        <v>153.09</v>
      </c>
      <c r="P28" s="133">
        <v>0</v>
      </c>
      <c r="Q28" s="134"/>
      <c r="R28" s="135">
        <f>_xlfn.XLOOKUP(L28,[1]Auslegungsgrundlagen!$A$9:$A$100,[1]Auslegungsgrundlagen!$M$9:$M$100)</f>
        <v>0</v>
      </c>
      <c r="S28" s="136">
        <f>_xlfn.XLOOKUP(L28,[1]Auslegungsgrundlagen!$A$9:$A$100,[1]Auslegungsgrundlagen!$Q$9:$Q$100)*P28</f>
        <v>0</v>
      </c>
      <c r="T28" s="137">
        <v>0</v>
      </c>
      <c r="U28" s="137">
        <v>0</v>
      </c>
      <c r="V28" s="138">
        <v>0</v>
      </c>
      <c r="W28" s="139">
        <f t="shared" si="0"/>
        <v>0</v>
      </c>
      <c r="X28" s="140" t="s">
        <v>120</v>
      </c>
      <c r="Y28" s="137" t="s">
        <v>120</v>
      </c>
      <c r="Z28" s="141">
        <v>0</v>
      </c>
      <c r="AA28" s="142">
        <f t="shared" si="1"/>
        <v>0</v>
      </c>
      <c r="AB28" s="140" t="s">
        <v>120</v>
      </c>
      <c r="AC28" s="143" t="s">
        <v>120</v>
      </c>
      <c r="AD28" s="144">
        <v>0</v>
      </c>
      <c r="AE28" s="145">
        <f t="shared" si="2"/>
        <v>0</v>
      </c>
      <c r="AF28" s="146"/>
      <c r="AG28" s="140" t="s">
        <v>120</v>
      </c>
      <c r="AH28" s="143" t="s">
        <v>120</v>
      </c>
      <c r="AI28" s="144">
        <v>0</v>
      </c>
      <c r="AJ28" s="145">
        <f t="shared" si="3"/>
        <v>0</v>
      </c>
      <c r="AK28" s="146"/>
      <c r="AL28" s="147">
        <f t="shared" si="4"/>
        <v>0</v>
      </c>
      <c r="AM28" s="140" t="s">
        <v>120</v>
      </c>
      <c r="AN28" s="143" t="s">
        <v>120</v>
      </c>
      <c r="AO28" s="144">
        <v>0</v>
      </c>
      <c r="AP28" s="148">
        <v>0</v>
      </c>
      <c r="AQ28" s="142">
        <f t="shared" si="5"/>
        <v>0</v>
      </c>
      <c r="AR28" s="140" t="s">
        <v>120</v>
      </c>
      <c r="AS28" s="143" t="s">
        <v>120</v>
      </c>
      <c r="AT28" s="144">
        <v>0</v>
      </c>
      <c r="AU28" s="149">
        <v>0</v>
      </c>
      <c r="AV28" s="145">
        <f t="shared" si="6"/>
        <v>0</v>
      </c>
      <c r="AW28" s="146"/>
      <c r="AX28" s="140" t="s">
        <v>120</v>
      </c>
      <c r="AY28" s="143" t="s">
        <v>120</v>
      </c>
      <c r="AZ28" s="144">
        <v>0</v>
      </c>
      <c r="BA28" s="149">
        <v>0</v>
      </c>
      <c r="BB28" s="145">
        <f t="shared" si="7"/>
        <v>0</v>
      </c>
      <c r="BC28" s="150"/>
      <c r="BD28" s="151">
        <f t="shared" si="8"/>
        <v>0</v>
      </c>
      <c r="BE28" s="152">
        <f t="shared" si="9"/>
        <v>0</v>
      </c>
      <c r="BF28" s="140" t="s">
        <v>120</v>
      </c>
      <c r="BG28" s="153" t="s">
        <v>120</v>
      </c>
      <c r="BH28" s="154" t="s">
        <v>120</v>
      </c>
      <c r="BI28" s="155" t="s">
        <v>120</v>
      </c>
      <c r="BJ28" s="156" t="s">
        <v>120</v>
      </c>
      <c r="BK28" s="157"/>
      <c r="BL28" s="158">
        <f>_xlfn.XLOOKUP(L28,[1]Auslegungsgrundlagen!$A$9:$A$100,[1]Auslegungsgrundlagen!$U$9:$U$100)</f>
        <v>25</v>
      </c>
      <c r="BM28" s="137">
        <v>0</v>
      </c>
      <c r="BN28" s="159">
        <v>0</v>
      </c>
      <c r="BO28" s="152">
        <f t="shared" si="10"/>
        <v>1.03</v>
      </c>
      <c r="BP28" s="140" t="s">
        <v>12</v>
      </c>
      <c r="BQ28" s="143">
        <f t="shared" ref="BQ28" si="18">BO28*1000</f>
        <v>1030</v>
      </c>
      <c r="BR28" s="160">
        <v>1</v>
      </c>
      <c r="BS28" s="142">
        <f t="shared" si="11"/>
        <v>1.03</v>
      </c>
      <c r="BT28" s="140" t="s">
        <v>120</v>
      </c>
      <c r="BU28" s="143" t="s">
        <v>120</v>
      </c>
      <c r="BV28" s="160">
        <v>0</v>
      </c>
      <c r="BW28" s="145">
        <f t="shared" si="12"/>
        <v>0</v>
      </c>
      <c r="BX28" s="146"/>
      <c r="BY28" s="140" t="s">
        <v>120</v>
      </c>
      <c r="BZ28" s="143" t="s">
        <v>120</v>
      </c>
      <c r="CA28" s="160">
        <v>0</v>
      </c>
      <c r="CB28" s="145">
        <f t="shared" si="13"/>
        <v>0</v>
      </c>
      <c r="CC28" s="146"/>
      <c r="CD28" s="151">
        <f t="shared" si="14"/>
        <v>1.03</v>
      </c>
      <c r="CE28" s="161" t="s">
        <v>120</v>
      </c>
      <c r="CF28" s="162" t="s">
        <v>120</v>
      </c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ht="12.3">
      <c r="A29" s="128" t="s">
        <v>165</v>
      </c>
      <c r="B29" s="129">
        <v>4000</v>
      </c>
      <c r="C29" s="129">
        <v>7003</v>
      </c>
      <c r="D29" s="129"/>
      <c r="E29" s="129"/>
      <c r="F29" s="130"/>
      <c r="G29" s="131" t="s">
        <v>166</v>
      </c>
      <c r="H29" s="131" t="s">
        <v>120</v>
      </c>
      <c r="I29" s="131" t="s">
        <v>120</v>
      </c>
      <c r="J29" s="131" t="s">
        <v>167</v>
      </c>
      <c r="K29" s="131" t="s">
        <v>168</v>
      </c>
      <c r="L29" s="177">
        <v>18</v>
      </c>
      <c r="M29" s="131" t="str">
        <f>_xlfn.XLOOKUP(L29,[1]Auslegungsgrundlagen!$A$9:$A$100,[1]Auslegungsgrundlagen!$B$9:$B$100)</f>
        <v>Schächte</v>
      </c>
      <c r="N29" s="132">
        <v>3</v>
      </c>
      <c r="O29" s="132">
        <v>11.42</v>
      </c>
      <c r="P29" s="133">
        <v>0</v>
      </c>
      <c r="Q29" s="134"/>
      <c r="R29" s="135">
        <f>_xlfn.XLOOKUP(L29,[1]Auslegungsgrundlagen!$A$9:$A$100,[1]Auslegungsgrundlagen!$M$9:$M$100)</f>
        <v>0</v>
      </c>
      <c r="S29" s="136">
        <f>_xlfn.XLOOKUP(L29,[1]Auslegungsgrundlagen!$A$9:$A$100,[1]Auslegungsgrundlagen!$Q$9:$Q$100)*P29</f>
        <v>0</v>
      </c>
      <c r="T29" s="137">
        <v>0</v>
      </c>
      <c r="U29" s="137">
        <v>0</v>
      </c>
      <c r="V29" s="138">
        <v>0</v>
      </c>
      <c r="W29" s="139">
        <f t="shared" si="0"/>
        <v>0</v>
      </c>
      <c r="X29" s="140" t="s">
        <v>120</v>
      </c>
      <c r="Y29" s="137" t="s">
        <v>120</v>
      </c>
      <c r="Z29" s="141">
        <v>0</v>
      </c>
      <c r="AA29" s="142">
        <f t="shared" si="1"/>
        <v>0</v>
      </c>
      <c r="AB29" s="140" t="s">
        <v>120</v>
      </c>
      <c r="AC29" s="143" t="s">
        <v>120</v>
      </c>
      <c r="AD29" s="144">
        <v>0</v>
      </c>
      <c r="AE29" s="145">
        <f t="shared" si="2"/>
        <v>0</v>
      </c>
      <c r="AF29" s="146"/>
      <c r="AG29" s="140" t="s">
        <v>120</v>
      </c>
      <c r="AH29" s="143" t="s">
        <v>120</v>
      </c>
      <c r="AI29" s="144">
        <v>0</v>
      </c>
      <c r="AJ29" s="145">
        <f t="shared" si="3"/>
        <v>0</v>
      </c>
      <c r="AK29" s="146"/>
      <c r="AL29" s="147">
        <f t="shared" si="4"/>
        <v>0</v>
      </c>
      <c r="AM29" s="140" t="s">
        <v>120</v>
      </c>
      <c r="AN29" s="143" t="s">
        <v>120</v>
      </c>
      <c r="AO29" s="144">
        <v>0</v>
      </c>
      <c r="AP29" s="148">
        <v>0</v>
      </c>
      <c r="AQ29" s="142">
        <f t="shared" si="5"/>
        <v>0</v>
      </c>
      <c r="AR29" s="140" t="s">
        <v>120</v>
      </c>
      <c r="AS29" s="143" t="s">
        <v>120</v>
      </c>
      <c r="AT29" s="144">
        <v>0</v>
      </c>
      <c r="AU29" s="149">
        <v>0</v>
      </c>
      <c r="AV29" s="145">
        <f t="shared" si="6"/>
        <v>0</v>
      </c>
      <c r="AW29" s="146"/>
      <c r="AX29" s="140" t="s">
        <v>120</v>
      </c>
      <c r="AY29" s="143" t="s">
        <v>120</v>
      </c>
      <c r="AZ29" s="144">
        <v>0</v>
      </c>
      <c r="BA29" s="149">
        <v>0</v>
      </c>
      <c r="BB29" s="145">
        <f t="shared" si="7"/>
        <v>0</v>
      </c>
      <c r="BC29" s="150"/>
      <c r="BD29" s="151">
        <f t="shared" si="8"/>
        <v>0</v>
      </c>
      <c r="BE29" s="152">
        <f t="shared" si="9"/>
        <v>0</v>
      </c>
      <c r="BF29" s="140" t="s">
        <v>120</v>
      </c>
      <c r="BG29" s="153" t="s">
        <v>120</v>
      </c>
      <c r="BH29" s="154" t="s">
        <v>120</v>
      </c>
      <c r="BI29" s="155" t="s">
        <v>120</v>
      </c>
      <c r="BJ29" s="156" t="s">
        <v>120</v>
      </c>
      <c r="BK29" s="157"/>
      <c r="BL29" s="158">
        <f>_xlfn.XLOOKUP(L29,[1]Auslegungsgrundlagen!$A$9:$A$100,[1]Auslegungsgrundlagen!$U$9:$U$100)</f>
        <v>0</v>
      </c>
      <c r="BM29" s="137">
        <v>0</v>
      </c>
      <c r="BN29" s="159">
        <v>0</v>
      </c>
      <c r="BO29" s="152">
        <f t="shared" si="10"/>
        <v>0</v>
      </c>
      <c r="BP29" s="140" t="s">
        <v>120</v>
      </c>
      <c r="BQ29" s="143" t="s">
        <v>120</v>
      </c>
      <c r="BR29" s="160">
        <v>0</v>
      </c>
      <c r="BS29" s="142">
        <f t="shared" si="11"/>
        <v>0</v>
      </c>
      <c r="BT29" s="140" t="s">
        <v>120</v>
      </c>
      <c r="BU29" s="143" t="s">
        <v>120</v>
      </c>
      <c r="BV29" s="160">
        <v>0</v>
      </c>
      <c r="BW29" s="145">
        <f t="shared" si="12"/>
        <v>0</v>
      </c>
      <c r="BX29" s="146"/>
      <c r="BY29" s="140" t="s">
        <v>120</v>
      </c>
      <c r="BZ29" s="143" t="s">
        <v>120</v>
      </c>
      <c r="CA29" s="160">
        <v>0</v>
      </c>
      <c r="CB29" s="145">
        <f t="shared" si="13"/>
        <v>0</v>
      </c>
      <c r="CC29" s="146"/>
      <c r="CD29" s="151">
        <f t="shared" si="14"/>
        <v>0</v>
      </c>
      <c r="CE29" s="161" t="s">
        <v>120</v>
      </c>
      <c r="CF29" s="162" t="s">
        <v>120</v>
      </c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ht="12.3">
      <c r="A30" s="128" t="s">
        <v>175</v>
      </c>
      <c r="B30" s="129">
        <v>4000</v>
      </c>
      <c r="C30" s="129">
        <v>6823</v>
      </c>
      <c r="D30" s="129"/>
      <c r="E30" s="129"/>
      <c r="F30" s="130"/>
      <c r="G30" s="131" t="s">
        <v>166</v>
      </c>
      <c r="H30" s="131" t="s">
        <v>120</v>
      </c>
      <c r="I30" s="131" t="s">
        <v>120</v>
      </c>
      <c r="J30" s="131" t="s">
        <v>176</v>
      </c>
      <c r="K30" s="131" t="s">
        <v>177</v>
      </c>
      <c r="L30" s="177">
        <v>14</v>
      </c>
      <c r="M30" s="131" t="str">
        <f>_xlfn.XLOOKUP(L30,[1]Auslegungsgrundlagen!$A$9:$A$100,[1]Auslegungsgrundlagen!$B$9:$B$100)</f>
        <v>ELT-Schacht</v>
      </c>
      <c r="N30" s="132">
        <v>3</v>
      </c>
      <c r="O30" s="132">
        <v>10.88</v>
      </c>
      <c r="P30" s="133">
        <v>0</v>
      </c>
      <c r="Q30" s="134"/>
      <c r="R30" s="135">
        <f>_xlfn.XLOOKUP(L30,[1]Auslegungsgrundlagen!$A$9:$A$100,[1]Auslegungsgrundlagen!$M$9:$M$100)</f>
        <v>0</v>
      </c>
      <c r="S30" s="136">
        <f>_xlfn.XLOOKUP(L30,[1]Auslegungsgrundlagen!$A$9:$A$100,[1]Auslegungsgrundlagen!$Q$9:$Q$100)*P30</f>
        <v>0</v>
      </c>
      <c r="T30" s="137">
        <v>0</v>
      </c>
      <c r="U30" s="137">
        <v>0</v>
      </c>
      <c r="V30" s="138">
        <v>0</v>
      </c>
      <c r="W30" s="139">
        <f t="shared" si="0"/>
        <v>0</v>
      </c>
      <c r="X30" s="140" t="s">
        <v>120</v>
      </c>
      <c r="Y30" s="137" t="s">
        <v>120</v>
      </c>
      <c r="Z30" s="141">
        <v>0</v>
      </c>
      <c r="AA30" s="142">
        <f t="shared" si="1"/>
        <v>0</v>
      </c>
      <c r="AB30" s="140" t="s">
        <v>120</v>
      </c>
      <c r="AC30" s="143" t="s">
        <v>120</v>
      </c>
      <c r="AD30" s="144">
        <v>0</v>
      </c>
      <c r="AE30" s="145">
        <f t="shared" si="2"/>
        <v>0</v>
      </c>
      <c r="AF30" s="146"/>
      <c r="AG30" s="140" t="s">
        <v>120</v>
      </c>
      <c r="AH30" s="143" t="s">
        <v>120</v>
      </c>
      <c r="AI30" s="144">
        <v>0</v>
      </c>
      <c r="AJ30" s="145">
        <f t="shared" si="3"/>
        <v>0</v>
      </c>
      <c r="AK30" s="146"/>
      <c r="AL30" s="147">
        <f t="shared" si="4"/>
        <v>0</v>
      </c>
      <c r="AM30" s="140" t="s">
        <v>120</v>
      </c>
      <c r="AN30" s="143" t="s">
        <v>120</v>
      </c>
      <c r="AO30" s="144">
        <v>0</v>
      </c>
      <c r="AP30" s="148">
        <v>0</v>
      </c>
      <c r="AQ30" s="142">
        <f t="shared" si="5"/>
        <v>0</v>
      </c>
      <c r="AR30" s="140" t="s">
        <v>120</v>
      </c>
      <c r="AS30" s="143" t="s">
        <v>120</v>
      </c>
      <c r="AT30" s="144">
        <v>0</v>
      </c>
      <c r="AU30" s="149">
        <v>0</v>
      </c>
      <c r="AV30" s="145">
        <f t="shared" si="6"/>
        <v>0</v>
      </c>
      <c r="AW30" s="146"/>
      <c r="AX30" s="140" t="s">
        <v>120</v>
      </c>
      <c r="AY30" s="143" t="s">
        <v>120</v>
      </c>
      <c r="AZ30" s="144">
        <v>0</v>
      </c>
      <c r="BA30" s="149">
        <v>0</v>
      </c>
      <c r="BB30" s="145">
        <f t="shared" si="7"/>
        <v>0</v>
      </c>
      <c r="BC30" s="150"/>
      <c r="BD30" s="151">
        <f t="shared" si="8"/>
        <v>0</v>
      </c>
      <c r="BE30" s="152">
        <f t="shared" si="9"/>
        <v>0</v>
      </c>
      <c r="BF30" s="140" t="s">
        <v>120</v>
      </c>
      <c r="BG30" s="153" t="s">
        <v>120</v>
      </c>
      <c r="BH30" s="154" t="s">
        <v>120</v>
      </c>
      <c r="BI30" s="155" t="s">
        <v>120</v>
      </c>
      <c r="BJ30" s="156" t="s">
        <v>120</v>
      </c>
      <c r="BK30" s="157"/>
      <c r="BL30" s="158">
        <f>_xlfn.XLOOKUP(L30,[1]Auslegungsgrundlagen!$A$9:$A$100,[1]Auslegungsgrundlagen!$U$9:$U$100)</f>
        <v>0</v>
      </c>
      <c r="BM30" s="137">
        <v>0</v>
      </c>
      <c r="BN30" s="159">
        <v>0</v>
      </c>
      <c r="BO30" s="152">
        <f t="shared" si="10"/>
        <v>0</v>
      </c>
      <c r="BP30" s="140" t="s">
        <v>120</v>
      </c>
      <c r="BQ30" s="143" t="s">
        <v>120</v>
      </c>
      <c r="BR30" s="160">
        <v>0</v>
      </c>
      <c r="BS30" s="142">
        <f t="shared" si="11"/>
        <v>0</v>
      </c>
      <c r="BT30" s="140" t="s">
        <v>120</v>
      </c>
      <c r="BU30" s="143" t="s">
        <v>120</v>
      </c>
      <c r="BV30" s="160">
        <v>0</v>
      </c>
      <c r="BW30" s="145">
        <f t="shared" si="12"/>
        <v>0</v>
      </c>
      <c r="BX30" s="146"/>
      <c r="BY30" s="140" t="s">
        <v>120</v>
      </c>
      <c r="BZ30" s="143" t="s">
        <v>120</v>
      </c>
      <c r="CA30" s="160">
        <v>0</v>
      </c>
      <c r="CB30" s="145">
        <f t="shared" si="13"/>
        <v>0</v>
      </c>
      <c r="CC30" s="146"/>
      <c r="CD30" s="151">
        <f t="shared" si="14"/>
        <v>0</v>
      </c>
      <c r="CE30" s="161" t="s">
        <v>120</v>
      </c>
      <c r="CF30" s="162" t="s">
        <v>120</v>
      </c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ht="12.3">
      <c r="A31" s="128" t="s">
        <v>249</v>
      </c>
      <c r="B31" s="129">
        <v>3250</v>
      </c>
      <c r="C31" s="129">
        <v>72147</v>
      </c>
      <c r="D31" s="129"/>
      <c r="E31" s="129"/>
      <c r="F31" s="130"/>
      <c r="G31" s="131" t="s">
        <v>213</v>
      </c>
      <c r="H31" s="131" t="s">
        <v>120</v>
      </c>
      <c r="I31" s="131" t="s">
        <v>120</v>
      </c>
      <c r="J31" s="131" t="s">
        <v>250</v>
      </c>
      <c r="K31" s="131" t="s">
        <v>251</v>
      </c>
      <c r="L31" s="177">
        <v>1</v>
      </c>
      <c r="M31" s="131" t="str">
        <f>_xlfn.XLOOKUP(L31,[1]Auslegungsgrundlagen!$A$9:$A$100,[1]Auslegungsgrundlagen!$B$9:$B$100)</f>
        <v>Flex-/ Co-Work/</v>
      </c>
      <c r="N31" s="132">
        <v>205</v>
      </c>
      <c r="O31" s="132">
        <v>614.59</v>
      </c>
      <c r="P31" s="133">
        <v>0</v>
      </c>
      <c r="Q31" s="134"/>
      <c r="R31" s="135">
        <f>_xlfn.XLOOKUP(L31,[1]Auslegungsgrundlagen!$A$9:$A$100,[1]Auslegungsgrundlagen!$M$9:$M$100)</f>
        <v>50</v>
      </c>
      <c r="S31" s="136">
        <f>_xlfn.XLOOKUP(L31,[1]Auslegungsgrundlagen!$A$9:$A$100,[1]Auslegungsgrundlagen!$Q$9:$Q$100)*P31</f>
        <v>0</v>
      </c>
      <c r="T31" s="137">
        <v>0</v>
      </c>
      <c r="U31" s="137">
        <v>0</v>
      </c>
      <c r="V31" s="138">
        <v>0</v>
      </c>
      <c r="W31" s="139">
        <f t="shared" si="0"/>
        <v>10.25</v>
      </c>
      <c r="X31" s="140" t="s">
        <v>481</v>
      </c>
      <c r="Y31" s="137">
        <f t="shared" ref="Y31:Y38" si="19">W31*1000</f>
        <v>10250</v>
      </c>
      <c r="Z31" s="141">
        <v>1</v>
      </c>
      <c r="AA31" s="142">
        <f t="shared" si="1"/>
        <v>10.25</v>
      </c>
      <c r="AB31" s="140" t="s">
        <v>120</v>
      </c>
      <c r="AC31" s="143" t="s">
        <v>120</v>
      </c>
      <c r="AD31" s="144">
        <v>0</v>
      </c>
      <c r="AE31" s="145">
        <f t="shared" si="2"/>
        <v>0</v>
      </c>
      <c r="AF31" s="146"/>
      <c r="AG31" s="140" t="s">
        <v>120</v>
      </c>
      <c r="AH31" s="143" t="s">
        <v>120</v>
      </c>
      <c r="AI31" s="144">
        <v>0</v>
      </c>
      <c r="AJ31" s="145">
        <f t="shared" si="3"/>
        <v>0</v>
      </c>
      <c r="AK31" s="146"/>
      <c r="AL31" s="147">
        <f t="shared" si="4"/>
        <v>10.25</v>
      </c>
      <c r="AM31" s="140" t="s">
        <v>120</v>
      </c>
      <c r="AN31" s="143" t="s">
        <v>120</v>
      </c>
      <c r="AO31" s="144">
        <v>0</v>
      </c>
      <c r="AP31" s="148">
        <v>0</v>
      </c>
      <c r="AQ31" s="142">
        <f t="shared" si="5"/>
        <v>0</v>
      </c>
      <c r="AR31" s="140" t="s">
        <v>120</v>
      </c>
      <c r="AS31" s="143" t="s">
        <v>120</v>
      </c>
      <c r="AT31" s="144">
        <v>0</v>
      </c>
      <c r="AU31" s="149">
        <v>0</v>
      </c>
      <c r="AV31" s="145">
        <f t="shared" si="6"/>
        <v>0</v>
      </c>
      <c r="AW31" s="146"/>
      <c r="AX31" s="140" t="s">
        <v>120</v>
      </c>
      <c r="AY31" s="143" t="s">
        <v>120</v>
      </c>
      <c r="AZ31" s="144">
        <v>0</v>
      </c>
      <c r="BA31" s="149">
        <v>0</v>
      </c>
      <c r="BB31" s="145">
        <f t="shared" si="7"/>
        <v>0</v>
      </c>
      <c r="BC31" s="150"/>
      <c r="BD31" s="151">
        <f t="shared" si="8"/>
        <v>0</v>
      </c>
      <c r="BE31" s="152">
        <f t="shared" si="9"/>
        <v>10.25</v>
      </c>
      <c r="BF31" s="140" t="s">
        <v>120</v>
      </c>
      <c r="BG31" s="153" t="s">
        <v>120</v>
      </c>
      <c r="BH31" s="154" t="s">
        <v>120</v>
      </c>
      <c r="BI31" s="155" t="s">
        <v>120</v>
      </c>
      <c r="BJ31" s="156" t="s">
        <v>120</v>
      </c>
      <c r="BK31" s="157"/>
      <c r="BL31" s="158">
        <f>_xlfn.XLOOKUP(L31,[1]Auslegungsgrundlagen!$A$9:$A$100,[1]Auslegungsgrundlagen!$U$9:$U$100)</f>
        <v>40</v>
      </c>
      <c r="BM31" s="137">
        <v>0</v>
      </c>
      <c r="BN31" s="159">
        <v>0</v>
      </c>
      <c r="BO31" s="152">
        <f t="shared" si="10"/>
        <v>8.1999999999999993</v>
      </c>
      <c r="BP31" s="140" t="s">
        <v>481</v>
      </c>
      <c r="BQ31" s="143">
        <f t="shared" ref="BQ31:BQ38" si="20">BO31*1000</f>
        <v>8200</v>
      </c>
      <c r="BR31" s="160">
        <v>1</v>
      </c>
      <c r="BS31" s="142">
        <f t="shared" si="11"/>
        <v>8.1999999999999993</v>
      </c>
      <c r="BT31" s="140" t="s">
        <v>120</v>
      </c>
      <c r="BU31" s="143" t="s">
        <v>120</v>
      </c>
      <c r="BV31" s="160">
        <v>0</v>
      </c>
      <c r="BW31" s="145">
        <f t="shared" si="12"/>
        <v>0</v>
      </c>
      <c r="BX31" s="146"/>
      <c r="BY31" s="140" t="s">
        <v>120</v>
      </c>
      <c r="BZ31" s="143" t="s">
        <v>120</v>
      </c>
      <c r="CA31" s="160">
        <v>0</v>
      </c>
      <c r="CB31" s="145">
        <f t="shared" si="13"/>
        <v>0</v>
      </c>
      <c r="CC31" s="146"/>
      <c r="CD31" s="151">
        <f t="shared" si="14"/>
        <v>8.1999999999999993</v>
      </c>
      <c r="CE31" s="161" t="s">
        <v>120</v>
      </c>
      <c r="CF31" s="162" t="s">
        <v>120</v>
      </c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ht="12.3">
      <c r="A32" s="128" t="s">
        <v>237</v>
      </c>
      <c r="B32" s="129">
        <v>3250</v>
      </c>
      <c r="C32" s="129">
        <v>12060</v>
      </c>
      <c r="D32" s="129"/>
      <c r="E32" s="129"/>
      <c r="F32" s="130"/>
      <c r="G32" s="131" t="s">
        <v>213</v>
      </c>
      <c r="H32" s="131" t="s">
        <v>120</v>
      </c>
      <c r="I32" s="131" t="s">
        <v>120</v>
      </c>
      <c r="J32" s="131" t="s">
        <v>238</v>
      </c>
      <c r="K32" s="131" t="s">
        <v>230</v>
      </c>
      <c r="L32" s="177">
        <v>2</v>
      </c>
      <c r="M32" s="131" t="str">
        <f>_xlfn.XLOOKUP(L32,[1]Auslegungsgrundlagen!$A$9:$A$100,[1]Auslegungsgrundlagen!$B$9:$B$100)</f>
        <v>Einzel-/Zweierbüros</v>
      </c>
      <c r="N32" s="132">
        <v>8</v>
      </c>
      <c r="O32" s="132">
        <v>24.51</v>
      </c>
      <c r="P32" s="133">
        <v>0</v>
      </c>
      <c r="Q32" s="134"/>
      <c r="R32" s="135">
        <f>_xlfn.XLOOKUP(L32,[1]Auslegungsgrundlagen!$A$9:$A$100,[1]Auslegungsgrundlagen!$M$9:$M$100)</f>
        <v>50</v>
      </c>
      <c r="S32" s="136">
        <f>_xlfn.XLOOKUP(L32,[1]Auslegungsgrundlagen!$A$9:$A$100,[1]Auslegungsgrundlagen!$Q$9:$Q$100)*P32</f>
        <v>0</v>
      </c>
      <c r="T32" s="137">
        <v>0</v>
      </c>
      <c r="U32" s="137">
        <v>0</v>
      </c>
      <c r="V32" s="138">
        <v>0</v>
      </c>
      <c r="W32" s="139">
        <f t="shared" si="0"/>
        <v>0.4</v>
      </c>
      <c r="X32" s="140" t="s">
        <v>481</v>
      </c>
      <c r="Y32" s="137">
        <f t="shared" si="19"/>
        <v>400</v>
      </c>
      <c r="Z32" s="141">
        <v>1</v>
      </c>
      <c r="AA32" s="142">
        <f t="shared" si="1"/>
        <v>0.4</v>
      </c>
      <c r="AB32" s="140" t="s">
        <v>120</v>
      </c>
      <c r="AC32" s="143" t="s">
        <v>120</v>
      </c>
      <c r="AD32" s="144">
        <v>0</v>
      </c>
      <c r="AE32" s="145">
        <f t="shared" si="2"/>
        <v>0</v>
      </c>
      <c r="AF32" s="146"/>
      <c r="AG32" s="140" t="s">
        <v>120</v>
      </c>
      <c r="AH32" s="143" t="s">
        <v>120</v>
      </c>
      <c r="AI32" s="144">
        <v>0</v>
      </c>
      <c r="AJ32" s="145">
        <f t="shared" si="3"/>
        <v>0</v>
      </c>
      <c r="AK32" s="146"/>
      <c r="AL32" s="147">
        <f t="shared" si="4"/>
        <v>0.4</v>
      </c>
      <c r="AM32" s="140" t="s">
        <v>120</v>
      </c>
      <c r="AN32" s="143" t="s">
        <v>120</v>
      </c>
      <c r="AO32" s="144">
        <v>0</v>
      </c>
      <c r="AP32" s="148">
        <v>0</v>
      </c>
      <c r="AQ32" s="142">
        <f t="shared" si="5"/>
        <v>0</v>
      </c>
      <c r="AR32" s="140" t="s">
        <v>120</v>
      </c>
      <c r="AS32" s="143" t="s">
        <v>120</v>
      </c>
      <c r="AT32" s="144">
        <v>0</v>
      </c>
      <c r="AU32" s="149">
        <v>0</v>
      </c>
      <c r="AV32" s="145">
        <f t="shared" si="6"/>
        <v>0</v>
      </c>
      <c r="AW32" s="146"/>
      <c r="AX32" s="140" t="s">
        <v>120</v>
      </c>
      <c r="AY32" s="143" t="s">
        <v>120</v>
      </c>
      <c r="AZ32" s="144">
        <v>0</v>
      </c>
      <c r="BA32" s="149">
        <v>0</v>
      </c>
      <c r="BB32" s="145">
        <f t="shared" si="7"/>
        <v>0</v>
      </c>
      <c r="BC32" s="150"/>
      <c r="BD32" s="151">
        <f t="shared" si="8"/>
        <v>0</v>
      </c>
      <c r="BE32" s="152">
        <f t="shared" si="9"/>
        <v>0.4</v>
      </c>
      <c r="BF32" s="140" t="s">
        <v>120</v>
      </c>
      <c r="BG32" s="153" t="s">
        <v>120</v>
      </c>
      <c r="BH32" s="154" t="s">
        <v>120</v>
      </c>
      <c r="BI32" s="155" t="s">
        <v>120</v>
      </c>
      <c r="BJ32" s="156" t="s">
        <v>120</v>
      </c>
      <c r="BK32" s="157"/>
      <c r="BL32" s="158">
        <f>_xlfn.XLOOKUP(L32,[1]Auslegungsgrundlagen!$A$9:$A$100,[1]Auslegungsgrundlagen!$U$9:$U$100)</f>
        <v>40</v>
      </c>
      <c r="BM32" s="137">
        <v>0</v>
      </c>
      <c r="BN32" s="159">
        <v>0</v>
      </c>
      <c r="BO32" s="152">
        <f t="shared" si="10"/>
        <v>0.32</v>
      </c>
      <c r="BP32" s="140" t="s">
        <v>481</v>
      </c>
      <c r="BQ32" s="143">
        <f t="shared" si="20"/>
        <v>320</v>
      </c>
      <c r="BR32" s="160">
        <v>1</v>
      </c>
      <c r="BS32" s="142">
        <f t="shared" si="11"/>
        <v>0.32</v>
      </c>
      <c r="BT32" s="140" t="s">
        <v>120</v>
      </c>
      <c r="BU32" s="143" t="s">
        <v>120</v>
      </c>
      <c r="BV32" s="160">
        <v>0</v>
      </c>
      <c r="BW32" s="145">
        <f t="shared" si="12"/>
        <v>0</v>
      </c>
      <c r="BX32" s="146"/>
      <c r="BY32" s="140" t="s">
        <v>120</v>
      </c>
      <c r="BZ32" s="143" t="s">
        <v>120</v>
      </c>
      <c r="CA32" s="160">
        <v>0</v>
      </c>
      <c r="CB32" s="145">
        <f t="shared" si="13"/>
        <v>0</v>
      </c>
      <c r="CC32" s="146"/>
      <c r="CD32" s="151">
        <f t="shared" si="14"/>
        <v>0.32</v>
      </c>
      <c r="CE32" s="161" t="s">
        <v>120</v>
      </c>
      <c r="CF32" s="162" t="s">
        <v>120</v>
      </c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ht="12.3">
      <c r="A33" s="128" t="s">
        <v>228</v>
      </c>
      <c r="B33" s="129">
        <v>3250</v>
      </c>
      <c r="C33" s="129">
        <v>12150</v>
      </c>
      <c r="D33" s="129"/>
      <c r="E33" s="129"/>
      <c r="F33" s="130"/>
      <c r="G33" s="131" t="s">
        <v>213</v>
      </c>
      <c r="H33" s="131" t="s">
        <v>120</v>
      </c>
      <c r="I33" s="131" t="s">
        <v>120</v>
      </c>
      <c r="J33" s="131" t="s">
        <v>229</v>
      </c>
      <c r="K33" s="131" t="s">
        <v>230</v>
      </c>
      <c r="L33" s="177">
        <v>2</v>
      </c>
      <c r="M33" s="131" t="str">
        <f>_xlfn.XLOOKUP(L33,[1]Auslegungsgrundlagen!$A$9:$A$100,[1]Auslegungsgrundlagen!$B$9:$B$100)</f>
        <v>Einzel-/Zweierbüros</v>
      </c>
      <c r="N33" s="132">
        <v>8</v>
      </c>
      <c r="O33" s="132">
        <v>25.04</v>
      </c>
      <c r="P33" s="133">
        <v>0</v>
      </c>
      <c r="Q33" s="134"/>
      <c r="R33" s="135">
        <f>_xlfn.XLOOKUP(L33,[1]Auslegungsgrundlagen!$A$9:$A$100,[1]Auslegungsgrundlagen!$M$9:$M$100)</f>
        <v>50</v>
      </c>
      <c r="S33" s="136">
        <f>_xlfn.XLOOKUP(L33,[1]Auslegungsgrundlagen!$A$9:$A$100,[1]Auslegungsgrundlagen!$Q$9:$Q$100)*P33</f>
        <v>0</v>
      </c>
      <c r="T33" s="137">
        <v>0</v>
      </c>
      <c r="U33" s="137">
        <v>0</v>
      </c>
      <c r="V33" s="138">
        <v>0</v>
      </c>
      <c r="W33" s="139">
        <f t="shared" si="0"/>
        <v>0.4</v>
      </c>
      <c r="X33" s="140" t="s">
        <v>481</v>
      </c>
      <c r="Y33" s="137">
        <f t="shared" si="19"/>
        <v>400</v>
      </c>
      <c r="Z33" s="141">
        <v>1</v>
      </c>
      <c r="AA33" s="142">
        <f t="shared" si="1"/>
        <v>0.4</v>
      </c>
      <c r="AB33" s="140" t="s">
        <v>120</v>
      </c>
      <c r="AC33" s="143" t="s">
        <v>120</v>
      </c>
      <c r="AD33" s="144">
        <v>0</v>
      </c>
      <c r="AE33" s="145">
        <f t="shared" si="2"/>
        <v>0</v>
      </c>
      <c r="AF33" s="146"/>
      <c r="AG33" s="140" t="s">
        <v>120</v>
      </c>
      <c r="AH33" s="143" t="s">
        <v>120</v>
      </c>
      <c r="AI33" s="144">
        <v>0</v>
      </c>
      <c r="AJ33" s="145">
        <f t="shared" si="3"/>
        <v>0</v>
      </c>
      <c r="AK33" s="146"/>
      <c r="AL33" s="147">
        <f t="shared" si="4"/>
        <v>0.4</v>
      </c>
      <c r="AM33" s="140" t="s">
        <v>120</v>
      </c>
      <c r="AN33" s="143" t="s">
        <v>120</v>
      </c>
      <c r="AO33" s="144">
        <v>0</v>
      </c>
      <c r="AP33" s="148">
        <v>0</v>
      </c>
      <c r="AQ33" s="142">
        <f t="shared" si="5"/>
        <v>0</v>
      </c>
      <c r="AR33" s="140" t="s">
        <v>120</v>
      </c>
      <c r="AS33" s="143" t="s">
        <v>120</v>
      </c>
      <c r="AT33" s="144">
        <v>0</v>
      </c>
      <c r="AU33" s="149">
        <v>0</v>
      </c>
      <c r="AV33" s="145">
        <f t="shared" si="6"/>
        <v>0</v>
      </c>
      <c r="AW33" s="146"/>
      <c r="AX33" s="140" t="s">
        <v>120</v>
      </c>
      <c r="AY33" s="143" t="s">
        <v>120</v>
      </c>
      <c r="AZ33" s="144">
        <v>0</v>
      </c>
      <c r="BA33" s="149">
        <v>0</v>
      </c>
      <c r="BB33" s="145">
        <f t="shared" si="7"/>
        <v>0</v>
      </c>
      <c r="BC33" s="150"/>
      <c r="BD33" s="151">
        <f t="shared" si="8"/>
        <v>0</v>
      </c>
      <c r="BE33" s="152">
        <f t="shared" si="9"/>
        <v>0.4</v>
      </c>
      <c r="BF33" s="140" t="s">
        <v>120</v>
      </c>
      <c r="BG33" s="153" t="s">
        <v>120</v>
      </c>
      <c r="BH33" s="154" t="s">
        <v>120</v>
      </c>
      <c r="BI33" s="155" t="s">
        <v>120</v>
      </c>
      <c r="BJ33" s="156" t="s">
        <v>120</v>
      </c>
      <c r="BK33" s="157"/>
      <c r="BL33" s="158">
        <f>_xlfn.XLOOKUP(L33,[1]Auslegungsgrundlagen!$A$9:$A$100,[1]Auslegungsgrundlagen!$U$9:$U$100)</f>
        <v>40</v>
      </c>
      <c r="BM33" s="137">
        <v>0</v>
      </c>
      <c r="BN33" s="159">
        <v>0</v>
      </c>
      <c r="BO33" s="152">
        <f t="shared" si="10"/>
        <v>0.32</v>
      </c>
      <c r="BP33" s="140" t="s">
        <v>481</v>
      </c>
      <c r="BQ33" s="143">
        <f t="shared" si="20"/>
        <v>320</v>
      </c>
      <c r="BR33" s="160">
        <v>1</v>
      </c>
      <c r="BS33" s="142">
        <f t="shared" si="11"/>
        <v>0.32</v>
      </c>
      <c r="BT33" s="140" t="s">
        <v>120</v>
      </c>
      <c r="BU33" s="143" t="s">
        <v>120</v>
      </c>
      <c r="BV33" s="160">
        <v>0</v>
      </c>
      <c r="BW33" s="145">
        <f t="shared" si="12"/>
        <v>0</v>
      </c>
      <c r="BX33" s="146"/>
      <c r="BY33" s="140" t="s">
        <v>120</v>
      </c>
      <c r="BZ33" s="143" t="s">
        <v>120</v>
      </c>
      <c r="CA33" s="160">
        <v>0</v>
      </c>
      <c r="CB33" s="145">
        <f t="shared" si="13"/>
        <v>0</v>
      </c>
      <c r="CC33" s="146"/>
      <c r="CD33" s="151">
        <f t="shared" si="14"/>
        <v>0.32</v>
      </c>
      <c r="CE33" s="161" t="s">
        <v>120</v>
      </c>
      <c r="CF33" s="162" t="s">
        <v>120</v>
      </c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ht="12.3">
      <c r="A34" s="128" t="s">
        <v>235</v>
      </c>
      <c r="B34" s="129">
        <v>3250</v>
      </c>
      <c r="C34" s="129">
        <v>12050</v>
      </c>
      <c r="D34" s="129"/>
      <c r="E34" s="129"/>
      <c r="F34" s="130"/>
      <c r="G34" s="131" t="s">
        <v>213</v>
      </c>
      <c r="H34" s="131" t="s">
        <v>120</v>
      </c>
      <c r="I34" s="131" t="s">
        <v>120</v>
      </c>
      <c r="J34" s="131" t="s">
        <v>236</v>
      </c>
      <c r="K34" s="131" t="s">
        <v>230</v>
      </c>
      <c r="L34" s="177">
        <v>2</v>
      </c>
      <c r="M34" s="131" t="str">
        <f>_xlfn.XLOOKUP(L34,[1]Auslegungsgrundlagen!$A$9:$A$100,[1]Auslegungsgrundlagen!$B$9:$B$100)</f>
        <v>Einzel-/Zweierbüros</v>
      </c>
      <c r="N34" s="132">
        <v>8</v>
      </c>
      <c r="O34" s="132">
        <v>24.73</v>
      </c>
      <c r="P34" s="133">
        <v>0</v>
      </c>
      <c r="Q34" s="134"/>
      <c r="R34" s="135">
        <f>_xlfn.XLOOKUP(L34,[1]Auslegungsgrundlagen!$A$9:$A$100,[1]Auslegungsgrundlagen!$M$9:$M$100)</f>
        <v>50</v>
      </c>
      <c r="S34" s="136">
        <f>_xlfn.XLOOKUP(L34,[1]Auslegungsgrundlagen!$A$9:$A$100,[1]Auslegungsgrundlagen!$Q$9:$Q$100)*P34</f>
        <v>0</v>
      </c>
      <c r="T34" s="137">
        <v>0</v>
      </c>
      <c r="U34" s="137">
        <v>0</v>
      </c>
      <c r="V34" s="138">
        <v>0</v>
      </c>
      <c r="W34" s="139">
        <f t="shared" si="0"/>
        <v>0.4</v>
      </c>
      <c r="X34" s="140" t="s">
        <v>481</v>
      </c>
      <c r="Y34" s="137">
        <f t="shared" si="19"/>
        <v>400</v>
      </c>
      <c r="Z34" s="141">
        <v>1</v>
      </c>
      <c r="AA34" s="142">
        <f t="shared" si="1"/>
        <v>0.4</v>
      </c>
      <c r="AB34" s="140" t="s">
        <v>120</v>
      </c>
      <c r="AC34" s="143" t="s">
        <v>120</v>
      </c>
      <c r="AD34" s="144">
        <v>0</v>
      </c>
      <c r="AE34" s="145">
        <f t="shared" si="2"/>
        <v>0</v>
      </c>
      <c r="AF34" s="146"/>
      <c r="AG34" s="140" t="s">
        <v>120</v>
      </c>
      <c r="AH34" s="143" t="s">
        <v>120</v>
      </c>
      <c r="AI34" s="144">
        <v>0</v>
      </c>
      <c r="AJ34" s="145">
        <f t="shared" si="3"/>
        <v>0</v>
      </c>
      <c r="AK34" s="146"/>
      <c r="AL34" s="147">
        <f t="shared" si="4"/>
        <v>0.4</v>
      </c>
      <c r="AM34" s="140" t="s">
        <v>120</v>
      </c>
      <c r="AN34" s="143" t="s">
        <v>120</v>
      </c>
      <c r="AO34" s="144">
        <v>0</v>
      </c>
      <c r="AP34" s="148">
        <v>0</v>
      </c>
      <c r="AQ34" s="142">
        <f t="shared" si="5"/>
        <v>0</v>
      </c>
      <c r="AR34" s="140" t="s">
        <v>120</v>
      </c>
      <c r="AS34" s="143" t="s">
        <v>120</v>
      </c>
      <c r="AT34" s="144">
        <v>0</v>
      </c>
      <c r="AU34" s="149">
        <v>0</v>
      </c>
      <c r="AV34" s="145">
        <f t="shared" si="6"/>
        <v>0</v>
      </c>
      <c r="AW34" s="146"/>
      <c r="AX34" s="140" t="s">
        <v>120</v>
      </c>
      <c r="AY34" s="143" t="s">
        <v>120</v>
      </c>
      <c r="AZ34" s="144">
        <v>0</v>
      </c>
      <c r="BA34" s="149">
        <v>0</v>
      </c>
      <c r="BB34" s="145">
        <f t="shared" si="7"/>
        <v>0</v>
      </c>
      <c r="BC34" s="150"/>
      <c r="BD34" s="151">
        <f t="shared" si="8"/>
        <v>0</v>
      </c>
      <c r="BE34" s="152">
        <f t="shared" si="9"/>
        <v>0.4</v>
      </c>
      <c r="BF34" s="140" t="s">
        <v>120</v>
      </c>
      <c r="BG34" s="153" t="s">
        <v>120</v>
      </c>
      <c r="BH34" s="154" t="s">
        <v>120</v>
      </c>
      <c r="BI34" s="155" t="s">
        <v>120</v>
      </c>
      <c r="BJ34" s="156" t="s">
        <v>120</v>
      </c>
      <c r="BK34" s="157"/>
      <c r="BL34" s="158">
        <f>_xlfn.XLOOKUP(L34,[1]Auslegungsgrundlagen!$A$9:$A$100,[1]Auslegungsgrundlagen!$U$9:$U$100)</f>
        <v>40</v>
      </c>
      <c r="BM34" s="137">
        <v>0</v>
      </c>
      <c r="BN34" s="159">
        <v>0</v>
      </c>
      <c r="BO34" s="152">
        <f t="shared" si="10"/>
        <v>0.32</v>
      </c>
      <c r="BP34" s="140" t="s">
        <v>481</v>
      </c>
      <c r="BQ34" s="143">
        <f t="shared" si="20"/>
        <v>320</v>
      </c>
      <c r="BR34" s="160">
        <v>1</v>
      </c>
      <c r="BS34" s="142">
        <f t="shared" si="11"/>
        <v>0.32</v>
      </c>
      <c r="BT34" s="140" t="s">
        <v>120</v>
      </c>
      <c r="BU34" s="143" t="s">
        <v>120</v>
      </c>
      <c r="BV34" s="160">
        <v>0</v>
      </c>
      <c r="BW34" s="145">
        <f t="shared" si="12"/>
        <v>0</v>
      </c>
      <c r="BX34" s="146"/>
      <c r="BY34" s="140" t="s">
        <v>120</v>
      </c>
      <c r="BZ34" s="143" t="s">
        <v>120</v>
      </c>
      <c r="CA34" s="160">
        <v>0</v>
      </c>
      <c r="CB34" s="145">
        <f t="shared" si="13"/>
        <v>0</v>
      </c>
      <c r="CC34" s="146"/>
      <c r="CD34" s="151">
        <f t="shared" si="14"/>
        <v>0.32</v>
      </c>
      <c r="CE34" s="161" t="s">
        <v>120</v>
      </c>
      <c r="CF34" s="162" t="s">
        <v>120</v>
      </c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ht="12.3">
      <c r="A35" s="128" t="s">
        <v>233</v>
      </c>
      <c r="B35" s="129">
        <v>3250</v>
      </c>
      <c r="C35" s="129">
        <v>12050</v>
      </c>
      <c r="D35" s="129"/>
      <c r="E35" s="129"/>
      <c r="F35" s="130"/>
      <c r="G35" s="131" t="s">
        <v>213</v>
      </c>
      <c r="H35" s="131" t="s">
        <v>120</v>
      </c>
      <c r="I35" s="131" t="s">
        <v>120</v>
      </c>
      <c r="J35" s="131" t="s">
        <v>234</v>
      </c>
      <c r="K35" s="131" t="s">
        <v>230</v>
      </c>
      <c r="L35" s="177">
        <v>2</v>
      </c>
      <c r="M35" s="131" t="str">
        <f>_xlfn.XLOOKUP(L35,[1]Auslegungsgrundlagen!$A$9:$A$100,[1]Auslegungsgrundlagen!$B$9:$B$100)</f>
        <v>Einzel-/Zweierbüros</v>
      </c>
      <c r="N35" s="132">
        <v>8</v>
      </c>
      <c r="O35" s="132">
        <v>24.73</v>
      </c>
      <c r="P35" s="133">
        <v>0</v>
      </c>
      <c r="Q35" s="134"/>
      <c r="R35" s="135">
        <f>_xlfn.XLOOKUP(L35,[1]Auslegungsgrundlagen!$A$9:$A$100,[1]Auslegungsgrundlagen!$M$9:$M$100)</f>
        <v>50</v>
      </c>
      <c r="S35" s="136">
        <f>_xlfn.XLOOKUP(L35,[1]Auslegungsgrundlagen!$A$9:$A$100,[1]Auslegungsgrundlagen!$Q$9:$Q$100)*P35</f>
        <v>0</v>
      </c>
      <c r="T35" s="137">
        <v>0</v>
      </c>
      <c r="U35" s="137">
        <v>0</v>
      </c>
      <c r="V35" s="138">
        <v>0</v>
      </c>
      <c r="W35" s="139">
        <f t="shared" si="0"/>
        <v>0.4</v>
      </c>
      <c r="X35" s="140" t="s">
        <v>481</v>
      </c>
      <c r="Y35" s="137">
        <f t="shared" si="19"/>
        <v>400</v>
      </c>
      <c r="Z35" s="141">
        <v>1</v>
      </c>
      <c r="AA35" s="142">
        <f t="shared" si="1"/>
        <v>0.4</v>
      </c>
      <c r="AB35" s="140" t="s">
        <v>120</v>
      </c>
      <c r="AC35" s="143" t="s">
        <v>120</v>
      </c>
      <c r="AD35" s="144">
        <v>0</v>
      </c>
      <c r="AE35" s="145">
        <f t="shared" si="2"/>
        <v>0</v>
      </c>
      <c r="AF35" s="146"/>
      <c r="AG35" s="140" t="s">
        <v>120</v>
      </c>
      <c r="AH35" s="143" t="s">
        <v>120</v>
      </c>
      <c r="AI35" s="144">
        <v>0</v>
      </c>
      <c r="AJ35" s="145">
        <f t="shared" si="3"/>
        <v>0</v>
      </c>
      <c r="AK35" s="146"/>
      <c r="AL35" s="147">
        <f t="shared" si="4"/>
        <v>0.4</v>
      </c>
      <c r="AM35" s="140" t="s">
        <v>120</v>
      </c>
      <c r="AN35" s="143" t="s">
        <v>120</v>
      </c>
      <c r="AO35" s="144">
        <v>0</v>
      </c>
      <c r="AP35" s="148">
        <v>0</v>
      </c>
      <c r="AQ35" s="142">
        <f t="shared" si="5"/>
        <v>0</v>
      </c>
      <c r="AR35" s="140" t="s">
        <v>120</v>
      </c>
      <c r="AS35" s="143" t="s">
        <v>120</v>
      </c>
      <c r="AT35" s="144">
        <v>0</v>
      </c>
      <c r="AU35" s="149">
        <v>0</v>
      </c>
      <c r="AV35" s="145">
        <f t="shared" si="6"/>
        <v>0</v>
      </c>
      <c r="AW35" s="146"/>
      <c r="AX35" s="140" t="s">
        <v>120</v>
      </c>
      <c r="AY35" s="143" t="s">
        <v>120</v>
      </c>
      <c r="AZ35" s="144">
        <v>0</v>
      </c>
      <c r="BA35" s="149">
        <v>0</v>
      </c>
      <c r="BB35" s="145">
        <f t="shared" si="7"/>
        <v>0</v>
      </c>
      <c r="BC35" s="150"/>
      <c r="BD35" s="151">
        <f t="shared" si="8"/>
        <v>0</v>
      </c>
      <c r="BE35" s="152">
        <f t="shared" si="9"/>
        <v>0.4</v>
      </c>
      <c r="BF35" s="140" t="s">
        <v>120</v>
      </c>
      <c r="BG35" s="153" t="s">
        <v>120</v>
      </c>
      <c r="BH35" s="154" t="s">
        <v>120</v>
      </c>
      <c r="BI35" s="155" t="s">
        <v>120</v>
      </c>
      <c r="BJ35" s="156" t="s">
        <v>120</v>
      </c>
      <c r="BK35" s="157"/>
      <c r="BL35" s="158">
        <f>_xlfn.XLOOKUP(L35,[1]Auslegungsgrundlagen!$A$9:$A$100,[1]Auslegungsgrundlagen!$U$9:$U$100)</f>
        <v>40</v>
      </c>
      <c r="BM35" s="137">
        <v>0</v>
      </c>
      <c r="BN35" s="159">
        <v>0</v>
      </c>
      <c r="BO35" s="152">
        <f t="shared" si="10"/>
        <v>0.32</v>
      </c>
      <c r="BP35" s="140" t="s">
        <v>481</v>
      </c>
      <c r="BQ35" s="143">
        <f t="shared" si="20"/>
        <v>320</v>
      </c>
      <c r="BR35" s="160">
        <v>1</v>
      </c>
      <c r="BS35" s="142">
        <f t="shared" si="11"/>
        <v>0.32</v>
      </c>
      <c r="BT35" s="140" t="s">
        <v>120</v>
      </c>
      <c r="BU35" s="143" t="s">
        <v>120</v>
      </c>
      <c r="BV35" s="160">
        <v>0</v>
      </c>
      <c r="BW35" s="145">
        <f t="shared" si="12"/>
        <v>0</v>
      </c>
      <c r="BX35" s="146"/>
      <c r="BY35" s="140" t="s">
        <v>120</v>
      </c>
      <c r="BZ35" s="143" t="s">
        <v>120</v>
      </c>
      <c r="CA35" s="160">
        <v>0</v>
      </c>
      <c r="CB35" s="145">
        <f t="shared" si="13"/>
        <v>0</v>
      </c>
      <c r="CC35" s="146"/>
      <c r="CD35" s="151">
        <f t="shared" si="14"/>
        <v>0.32</v>
      </c>
      <c r="CE35" s="161" t="s">
        <v>120</v>
      </c>
      <c r="CF35" s="162" t="s">
        <v>120</v>
      </c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ht="12.3">
      <c r="A36" s="128" t="s">
        <v>231</v>
      </c>
      <c r="B36" s="129">
        <v>3250</v>
      </c>
      <c r="C36" s="129">
        <v>12050</v>
      </c>
      <c r="D36" s="129"/>
      <c r="E36" s="129"/>
      <c r="F36" s="130"/>
      <c r="G36" s="131" t="s">
        <v>213</v>
      </c>
      <c r="H36" s="131" t="s">
        <v>120</v>
      </c>
      <c r="I36" s="131" t="s">
        <v>120</v>
      </c>
      <c r="J36" s="131" t="s">
        <v>232</v>
      </c>
      <c r="K36" s="131" t="s">
        <v>230</v>
      </c>
      <c r="L36" s="177">
        <v>2</v>
      </c>
      <c r="M36" s="131" t="str">
        <f>_xlfn.XLOOKUP(L36,[1]Auslegungsgrundlagen!$A$9:$A$100,[1]Auslegungsgrundlagen!$B$9:$B$100)</f>
        <v>Einzel-/Zweierbüros</v>
      </c>
      <c r="N36" s="132">
        <v>8</v>
      </c>
      <c r="O36" s="132">
        <v>24.73</v>
      </c>
      <c r="P36" s="133">
        <v>0</v>
      </c>
      <c r="Q36" s="134"/>
      <c r="R36" s="135">
        <f>_xlfn.XLOOKUP(L36,[1]Auslegungsgrundlagen!$A$9:$A$100,[1]Auslegungsgrundlagen!$M$9:$M$100)</f>
        <v>50</v>
      </c>
      <c r="S36" s="136">
        <f>_xlfn.XLOOKUP(L36,[1]Auslegungsgrundlagen!$A$9:$A$100,[1]Auslegungsgrundlagen!$Q$9:$Q$100)*P36</f>
        <v>0</v>
      </c>
      <c r="T36" s="137">
        <v>0</v>
      </c>
      <c r="U36" s="137">
        <v>0</v>
      </c>
      <c r="V36" s="138">
        <v>0</v>
      </c>
      <c r="W36" s="139">
        <f t="shared" si="0"/>
        <v>0.4</v>
      </c>
      <c r="X36" s="140" t="s">
        <v>481</v>
      </c>
      <c r="Y36" s="137">
        <f t="shared" si="19"/>
        <v>400</v>
      </c>
      <c r="Z36" s="141">
        <v>1</v>
      </c>
      <c r="AA36" s="142">
        <f t="shared" si="1"/>
        <v>0.4</v>
      </c>
      <c r="AB36" s="140" t="s">
        <v>120</v>
      </c>
      <c r="AC36" s="143" t="s">
        <v>120</v>
      </c>
      <c r="AD36" s="144">
        <v>0</v>
      </c>
      <c r="AE36" s="145">
        <f t="shared" si="2"/>
        <v>0</v>
      </c>
      <c r="AF36" s="146"/>
      <c r="AG36" s="140" t="s">
        <v>120</v>
      </c>
      <c r="AH36" s="143" t="s">
        <v>120</v>
      </c>
      <c r="AI36" s="144">
        <v>0</v>
      </c>
      <c r="AJ36" s="145">
        <f t="shared" si="3"/>
        <v>0</v>
      </c>
      <c r="AK36" s="146"/>
      <c r="AL36" s="147">
        <f t="shared" si="4"/>
        <v>0.4</v>
      </c>
      <c r="AM36" s="140" t="s">
        <v>120</v>
      </c>
      <c r="AN36" s="143" t="s">
        <v>120</v>
      </c>
      <c r="AO36" s="144">
        <v>0</v>
      </c>
      <c r="AP36" s="148">
        <v>0</v>
      </c>
      <c r="AQ36" s="142">
        <f t="shared" si="5"/>
        <v>0</v>
      </c>
      <c r="AR36" s="140" t="s">
        <v>120</v>
      </c>
      <c r="AS36" s="143" t="s">
        <v>120</v>
      </c>
      <c r="AT36" s="144">
        <v>0</v>
      </c>
      <c r="AU36" s="149">
        <v>0</v>
      </c>
      <c r="AV36" s="145">
        <f t="shared" si="6"/>
        <v>0</v>
      </c>
      <c r="AW36" s="146"/>
      <c r="AX36" s="140" t="s">
        <v>120</v>
      </c>
      <c r="AY36" s="143" t="s">
        <v>120</v>
      </c>
      <c r="AZ36" s="144">
        <v>0</v>
      </c>
      <c r="BA36" s="149">
        <v>0</v>
      </c>
      <c r="BB36" s="145">
        <f t="shared" si="7"/>
        <v>0</v>
      </c>
      <c r="BC36" s="150"/>
      <c r="BD36" s="151">
        <f t="shared" si="8"/>
        <v>0</v>
      </c>
      <c r="BE36" s="152">
        <f t="shared" si="9"/>
        <v>0.4</v>
      </c>
      <c r="BF36" s="140" t="s">
        <v>120</v>
      </c>
      <c r="BG36" s="153" t="s">
        <v>120</v>
      </c>
      <c r="BH36" s="154" t="s">
        <v>120</v>
      </c>
      <c r="BI36" s="155" t="s">
        <v>120</v>
      </c>
      <c r="BJ36" s="156" t="s">
        <v>120</v>
      </c>
      <c r="BK36" s="157"/>
      <c r="BL36" s="158">
        <f>_xlfn.XLOOKUP(L36,[1]Auslegungsgrundlagen!$A$9:$A$100,[1]Auslegungsgrundlagen!$U$9:$U$100)</f>
        <v>40</v>
      </c>
      <c r="BM36" s="137">
        <v>0</v>
      </c>
      <c r="BN36" s="159">
        <v>0</v>
      </c>
      <c r="BO36" s="152">
        <f t="shared" si="10"/>
        <v>0.32</v>
      </c>
      <c r="BP36" s="140" t="s">
        <v>481</v>
      </c>
      <c r="BQ36" s="143">
        <f t="shared" si="20"/>
        <v>320</v>
      </c>
      <c r="BR36" s="160">
        <v>1</v>
      </c>
      <c r="BS36" s="142">
        <f t="shared" si="11"/>
        <v>0.32</v>
      </c>
      <c r="BT36" s="140" t="s">
        <v>120</v>
      </c>
      <c r="BU36" s="143" t="s">
        <v>120</v>
      </c>
      <c r="BV36" s="160">
        <v>0</v>
      </c>
      <c r="BW36" s="145">
        <f t="shared" si="12"/>
        <v>0</v>
      </c>
      <c r="BX36" s="146"/>
      <c r="BY36" s="140" t="s">
        <v>120</v>
      </c>
      <c r="BZ36" s="143" t="s">
        <v>120</v>
      </c>
      <c r="CA36" s="160">
        <v>0</v>
      </c>
      <c r="CB36" s="145">
        <f t="shared" si="13"/>
        <v>0</v>
      </c>
      <c r="CC36" s="146"/>
      <c r="CD36" s="151">
        <f t="shared" si="14"/>
        <v>0.32</v>
      </c>
      <c r="CE36" s="161" t="s">
        <v>120</v>
      </c>
      <c r="CF36" s="162" t="s">
        <v>120</v>
      </c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ht="12.3">
      <c r="A37" s="128" t="s">
        <v>453</v>
      </c>
      <c r="B37" s="129">
        <v>3250</v>
      </c>
      <c r="C37" s="129">
        <v>25950</v>
      </c>
      <c r="D37" s="129"/>
      <c r="E37" s="129"/>
      <c r="F37" s="130"/>
      <c r="G37" s="131" t="s">
        <v>213</v>
      </c>
      <c r="H37" s="131" t="s">
        <v>120</v>
      </c>
      <c r="I37" s="131" t="s">
        <v>120</v>
      </c>
      <c r="J37" s="131" t="s">
        <v>454</v>
      </c>
      <c r="K37" s="131" t="s">
        <v>455</v>
      </c>
      <c r="L37" s="177">
        <v>1</v>
      </c>
      <c r="M37" s="131" t="str">
        <f>_xlfn.XLOOKUP(L37,[1]Auslegungsgrundlagen!$A$9:$A$100,[1]Auslegungsgrundlagen!$B$9:$B$100)</f>
        <v>Flex-/ Co-Work/</v>
      </c>
      <c r="N37" s="132">
        <v>37</v>
      </c>
      <c r="O37" s="132">
        <v>109.52</v>
      </c>
      <c r="P37" s="133">
        <v>0</v>
      </c>
      <c r="Q37" s="134"/>
      <c r="R37" s="135">
        <f>_xlfn.XLOOKUP(L37,[1]Auslegungsgrundlagen!$A$9:$A$100,[1]Auslegungsgrundlagen!$M$9:$M$100)</f>
        <v>50</v>
      </c>
      <c r="S37" s="136">
        <f>_xlfn.XLOOKUP(L37,[1]Auslegungsgrundlagen!$A$9:$A$100,[1]Auslegungsgrundlagen!$Q$9:$Q$100)*P37</f>
        <v>0</v>
      </c>
      <c r="T37" s="137">
        <v>0</v>
      </c>
      <c r="U37" s="137">
        <v>0</v>
      </c>
      <c r="V37" s="138">
        <v>0</v>
      </c>
      <c r="W37" s="139">
        <f t="shared" si="0"/>
        <v>1.85</v>
      </c>
      <c r="X37" s="140" t="s">
        <v>481</v>
      </c>
      <c r="Y37" s="137">
        <f t="shared" si="19"/>
        <v>1850</v>
      </c>
      <c r="Z37" s="141">
        <v>1</v>
      </c>
      <c r="AA37" s="142">
        <f t="shared" si="1"/>
        <v>1.85</v>
      </c>
      <c r="AB37" s="140" t="s">
        <v>120</v>
      </c>
      <c r="AC37" s="143" t="s">
        <v>120</v>
      </c>
      <c r="AD37" s="144">
        <v>0</v>
      </c>
      <c r="AE37" s="145">
        <f t="shared" si="2"/>
        <v>0</v>
      </c>
      <c r="AF37" s="146"/>
      <c r="AG37" s="140" t="s">
        <v>120</v>
      </c>
      <c r="AH37" s="143" t="s">
        <v>120</v>
      </c>
      <c r="AI37" s="144">
        <v>0</v>
      </c>
      <c r="AJ37" s="145">
        <f t="shared" si="3"/>
        <v>0</v>
      </c>
      <c r="AK37" s="146"/>
      <c r="AL37" s="147">
        <f t="shared" si="4"/>
        <v>1.85</v>
      </c>
      <c r="AM37" s="140" t="s">
        <v>120</v>
      </c>
      <c r="AN37" s="143" t="s">
        <v>120</v>
      </c>
      <c r="AO37" s="144">
        <v>0</v>
      </c>
      <c r="AP37" s="148">
        <v>0</v>
      </c>
      <c r="AQ37" s="142">
        <f t="shared" si="5"/>
        <v>0</v>
      </c>
      <c r="AR37" s="140" t="s">
        <v>120</v>
      </c>
      <c r="AS37" s="143" t="s">
        <v>120</v>
      </c>
      <c r="AT37" s="144">
        <v>0</v>
      </c>
      <c r="AU37" s="149">
        <v>0</v>
      </c>
      <c r="AV37" s="145">
        <f t="shared" si="6"/>
        <v>0</v>
      </c>
      <c r="AW37" s="146"/>
      <c r="AX37" s="140" t="s">
        <v>120</v>
      </c>
      <c r="AY37" s="143" t="s">
        <v>120</v>
      </c>
      <c r="AZ37" s="144">
        <v>0</v>
      </c>
      <c r="BA37" s="149">
        <v>0</v>
      </c>
      <c r="BB37" s="145">
        <f t="shared" si="7"/>
        <v>0</v>
      </c>
      <c r="BC37" s="150"/>
      <c r="BD37" s="151">
        <f t="shared" si="8"/>
        <v>0</v>
      </c>
      <c r="BE37" s="152">
        <f t="shared" si="9"/>
        <v>1.85</v>
      </c>
      <c r="BF37" s="140" t="s">
        <v>120</v>
      </c>
      <c r="BG37" s="153" t="s">
        <v>120</v>
      </c>
      <c r="BH37" s="154" t="s">
        <v>120</v>
      </c>
      <c r="BI37" s="155" t="s">
        <v>120</v>
      </c>
      <c r="BJ37" s="156" t="s">
        <v>120</v>
      </c>
      <c r="BK37" s="157"/>
      <c r="BL37" s="158">
        <f>_xlfn.XLOOKUP(L37,[1]Auslegungsgrundlagen!$A$9:$A$100,[1]Auslegungsgrundlagen!$U$9:$U$100)</f>
        <v>40</v>
      </c>
      <c r="BM37" s="137">
        <v>0</v>
      </c>
      <c r="BN37" s="159">
        <v>0</v>
      </c>
      <c r="BO37" s="152">
        <f t="shared" si="10"/>
        <v>1.48</v>
      </c>
      <c r="BP37" s="140" t="s">
        <v>481</v>
      </c>
      <c r="BQ37" s="143">
        <f t="shared" si="20"/>
        <v>1480</v>
      </c>
      <c r="BR37" s="160">
        <v>1</v>
      </c>
      <c r="BS37" s="142">
        <f t="shared" si="11"/>
        <v>1.48</v>
      </c>
      <c r="BT37" s="140" t="s">
        <v>120</v>
      </c>
      <c r="BU37" s="143" t="s">
        <v>120</v>
      </c>
      <c r="BV37" s="160">
        <v>0</v>
      </c>
      <c r="BW37" s="145">
        <f t="shared" si="12"/>
        <v>0</v>
      </c>
      <c r="BX37" s="146"/>
      <c r="BY37" s="140" t="s">
        <v>120</v>
      </c>
      <c r="BZ37" s="143" t="s">
        <v>120</v>
      </c>
      <c r="CA37" s="160">
        <v>0</v>
      </c>
      <c r="CB37" s="145">
        <f t="shared" si="13"/>
        <v>0</v>
      </c>
      <c r="CC37" s="146"/>
      <c r="CD37" s="151">
        <f t="shared" si="14"/>
        <v>1.48</v>
      </c>
      <c r="CE37" s="161" t="s">
        <v>120</v>
      </c>
      <c r="CF37" s="162" t="s">
        <v>120</v>
      </c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ht="12.3">
      <c r="A38" s="128" t="s">
        <v>226</v>
      </c>
      <c r="B38" s="129">
        <v>3250</v>
      </c>
      <c r="C38" s="129">
        <v>16450</v>
      </c>
      <c r="D38" s="129"/>
      <c r="E38" s="129"/>
      <c r="F38" s="130"/>
      <c r="G38" s="131" t="s">
        <v>213</v>
      </c>
      <c r="H38" s="131" t="s">
        <v>120</v>
      </c>
      <c r="I38" s="131" t="s">
        <v>120</v>
      </c>
      <c r="J38" s="131" t="s">
        <v>227</v>
      </c>
      <c r="K38" s="131" t="s">
        <v>194</v>
      </c>
      <c r="L38" s="177">
        <v>2</v>
      </c>
      <c r="M38" s="131" t="str">
        <f>_xlfn.XLOOKUP(L38,[1]Auslegungsgrundlagen!$A$9:$A$100,[1]Auslegungsgrundlagen!$B$9:$B$100)</f>
        <v>Einzel-/Zweierbüros</v>
      </c>
      <c r="N38" s="132">
        <v>17</v>
      </c>
      <c r="O38" s="132">
        <v>50.63</v>
      </c>
      <c r="P38" s="133">
        <v>0</v>
      </c>
      <c r="Q38" s="134"/>
      <c r="R38" s="135">
        <f>_xlfn.XLOOKUP(L38,[1]Auslegungsgrundlagen!$A$9:$A$100,[1]Auslegungsgrundlagen!$M$9:$M$100)</f>
        <v>50</v>
      </c>
      <c r="S38" s="136">
        <f>_xlfn.XLOOKUP(L38,[1]Auslegungsgrundlagen!$A$9:$A$100,[1]Auslegungsgrundlagen!$Q$9:$Q$100)*P38</f>
        <v>0</v>
      </c>
      <c r="T38" s="137">
        <v>0</v>
      </c>
      <c r="U38" s="137">
        <v>0</v>
      </c>
      <c r="V38" s="138">
        <v>0</v>
      </c>
      <c r="W38" s="139">
        <f t="shared" si="0"/>
        <v>0.85</v>
      </c>
      <c r="X38" s="140" t="s">
        <v>481</v>
      </c>
      <c r="Y38" s="137">
        <f t="shared" si="19"/>
        <v>850</v>
      </c>
      <c r="Z38" s="141">
        <v>1</v>
      </c>
      <c r="AA38" s="142">
        <f t="shared" si="1"/>
        <v>0.85</v>
      </c>
      <c r="AB38" s="140" t="s">
        <v>120</v>
      </c>
      <c r="AC38" s="143" t="s">
        <v>120</v>
      </c>
      <c r="AD38" s="144">
        <v>0</v>
      </c>
      <c r="AE38" s="145">
        <f t="shared" si="2"/>
        <v>0</v>
      </c>
      <c r="AF38" s="146"/>
      <c r="AG38" s="140" t="s">
        <v>120</v>
      </c>
      <c r="AH38" s="143" t="s">
        <v>120</v>
      </c>
      <c r="AI38" s="144">
        <v>0</v>
      </c>
      <c r="AJ38" s="145">
        <f t="shared" si="3"/>
        <v>0</v>
      </c>
      <c r="AK38" s="146"/>
      <c r="AL38" s="147">
        <f t="shared" si="4"/>
        <v>0.85</v>
      </c>
      <c r="AM38" s="140" t="s">
        <v>120</v>
      </c>
      <c r="AN38" s="143" t="s">
        <v>120</v>
      </c>
      <c r="AO38" s="144">
        <v>0</v>
      </c>
      <c r="AP38" s="148">
        <v>0</v>
      </c>
      <c r="AQ38" s="142">
        <f t="shared" si="5"/>
        <v>0</v>
      </c>
      <c r="AR38" s="140" t="s">
        <v>120</v>
      </c>
      <c r="AS38" s="143" t="s">
        <v>120</v>
      </c>
      <c r="AT38" s="144">
        <v>0</v>
      </c>
      <c r="AU38" s="149">
        <v>0</v>
      </c>
      <c r="AV38" s="145">
        <f t="shared" si="6"/>
        <v>0</v>
      </c>
      <c r="AW38" s="146"/>
      <c r="AX38" s="140" t="s">
        <v>120</v>
      </c>
      <c r="AY38" s="143" t="s">
        <v>120</v>
      </c>
      <c r="AZ38" s="144">
        <v>0</v>
      </c>
      <c r="BA38" s="149">
        <v>0</v>
      </c>
      <c r="BB38" s="145">
        <f t="shared" si="7"/>
        <v>0</v>
      </c>
      <c r="BC38" s="150"/>
      <c r="BD38" s="151">
        <f t="shared" si="8"/>
        <v>0</v>
      </c>
      <c r="BE38" s="152">
        <f t="shared" si="9"/>
        <v>0.85</v>
      </c>
      <c r="BF38" s="140" t="s">
        <v>120</v>
      </c>
      <c r="BG38" s="153" t="s">
        <v>120</v>
      </c>
      <c r="BH38" s="154" t="s">
        <v>120</v>
      </c>
      <c r="BI38" s="155" t="s">
        <v>120</v>
      </c>
      <c r="BJ38" s="156" t="s">
        <v>120</v>
      </c>
      <c r="BK38" s="157"/>
      <c r="BL38" s="158">
        <f>_xlfn.XLOOKUP(L38,[1]Auslegungsgrundlagen!$A$9:$A$100,[1]Auslegungsgrundlagen!$U$9:$U$100)</f>
        <v>40</v>
      </c>
      <c r="BM38" s="137">
        <v>0</v>
      </c>
      <c r="BN38" s="159">
        <v>0</v>
      </c>
      <c r="BO38" s="152">
        <f t="shared" si="10"/>
        <v>0.68</v>
      </c>
      <c r="BP38" s="140" t="s">
        <v>481</v>
      </c>
      <c r="BQ38" s="143">
        <f t="shared" si="20"/>
        <v>680</v>
      </c>
      <c r="BR38" s="160">
        <v>1</v>
      </c>
      <c r="BS38" s="142">
        <f t="shared" si="11"/>
        <v>0.68</v>
      </c>
      <c r="BT38" s="140" t="s">
        <v>120</v>
      </c>
      <c r="BU38" s="143" t="s">
        <v>120</v>
      </c>
      <c r="BV38" s="160">
        <v>0</v>
      </c>
      <c r="BW38" s="145">
        <f t="shared" si="12"/>
        <v>0</v>
      </c>
      <c r="BX38" s="146"/>
      <c r="BY38" s="140" t="s">
        <v>120</v>
      </c>
      <c r="BZ38" s="143" t="s">
        <v>120</v>
      </c>
      <c r="CA38" s="160">
        <v>0</v>
      </c>
      <c r="CB38" s="145">
        <f t="shared" si="13"/>
        <v>0</v>
      </c>
      <c r="CC38" s="146"/>
      <c r="CD38" s="151">
        <f t="shared" si="14"/>
        <v>0.68</v>
      </c>
      <c r="CE38" s="161" t="s">
        <v>120</v>
      </c>
      <c r="CF38" s="162" t="s">
        <v>120</v>
      </c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ht="12.3">
      <c r="A39" s="128" t="s">
        <v>212</v>
      </c>
      <c r="B39" s="129">
        <v>3250</v>
      </c>
      <c r="C39" s="129">
        <v>11750</v>
      </c>
      <c r="D39" s="129"/>
      <c r="E39" s="129"/>
      <c r="F39" s="130"/>
      <c r="G39" s="131" t="s">
        <v>213</v>
      </c>
      <c r="H39" s="131" t="s">
        <v>120</v>
      </c>
      <c r="I39" s="131" t="s">
        <v>120</v>
      </c>
      <c r="J39" s="131" t="s">
        <v>214</v>
      </c>
      <c r="K39" s="131" t="s">
        <v>168</v>
      </c>
      <c r="L39" s="177">
        <v>18</v>
      </c>
      <c r="M39" s="131" t="str">
        <f>_xlfn.XLOOKUP(L39,[1]Auslegungsgrundlagen!$A$9:$A$100,[1]Auslegungsgrundlagen!$B$9:$B$100)</f>
        <v>Schächte</v>
      </c>
      <c r="N39" s="132">
        <v>8</v>
      </c>
      <c r="O39" s="132">
        <v>23.25</v>
      </c>
      <c r="P39" s="133">
        <v>0</v>
      </c>
      <c r="Q39" s="134"/>
      <c r="R39" s="135">
        <f>_xlfn.XLOOKUP(L39,[1]Auslegungsgrundlagen!$A$9:$A$100,[1]Auslegungsgrundlagen!$M$9:$M$100)</f>
        <v>0</v>
      </c>
      <c r="S39" s="136">
        <f>_xlfn.XLOOKUP(L39,[1]Auslegungsgrundlagen!$A$9:$A$100,[1]Auslegungsgrundlagen!$Q$9:$Q$100)*P39</f>
        <v>0</v>
      </c>
      <c r="T39" s="137">
        <v>0</v>
      </c>
      <c r="U39" s="137">
        <v>0</v>
      </c>
      <c r="V39" s="138">
        <v>0</v>
      </c>
      <c r="W39" s="139">
        <f t="shared" si="0"/>
        <v>0</v>
      </c>
      <c r="X39" s="140" t="s">
        <v>120</v>
      </c>
      <c r="Y39" s="137" t="s">
        <v>120</v>
      </c>
      <c r="Z39" s="141">
        <v>0</v>
      </c>
      <c r="AA39" s="142">
        <f t="shared" si="1"/>
        <v>0</v>
      </c>
      <c r="AB39" s="140" t="s">
        <v>120</v>
      </c>
      <c r="AC39" s="143" t="s">
        <v>120</v>
      </c>
      <c r="AD39" s="144">
        <v>0</v>
      </c>
      <c r="AE39" s="145">
        <f t="shared" si="2"/>
        <v>0</v>
      </c>
      <c r="AF39" s="146"/>
      <c r="AG39" s="140" t="s">
        <v>120</v>
      </c>
      <c r="AH39" s="143" t="s">
        <v>120</v>
      </c>
      <c r="AI39" s="144">
        <v>0</v>
      </c>
      <c r="AJ39" s="145">
        <f t="shared" si="3"/>
        <v>0</v>
      </c>
      <c r="AK39" s="146"/>
      <c r="AL39" s="147">
        <f t="shared" si="4"/>
        <v>0</v>
      </c>
      <c r="AM39" s="140" t="s">
        <v>120</v>
      </c>
      <c r="AN39" s="143" t="s">
        <v>120</v>
      </c>
      <c r="AO39" s="144">
        <v>0</v>
      </c>
      <c r="AP39" s="148">
        <v>0</v>
      </c>
      <c r="AQ39" s="142">
        <f t="shared" si="5"/>
        <v>0</v>
      </c>
      <c r="AR39" s="140" t="s">
        <v>120</v>
      </c>
      <c r="AS39" s="143" t="s">
        <v>120</v>
      </c>
      <c r="AT39" s="144">
        <v>0</v>
      </c>
      <c r="AU39" s="149">
        <v>0</v>
      </c>
      <c r="AV39" s="145">
        <f t="shared" si="6"/>
        <v>0</v>
      </c>
      <c r="AW39" s="146"/>
      <c r="AX39" s="140" t="s">
        <v>120</v>
      </c>
      <c r="AY39" s="143" t="s">
        <v>120</v>
      </c>
      <c r="AZ39" s="144">
        <v>0</v>
      </c>
      <c r="BA39" s="149">
        <v>0</v>
      </c>
      <c r="BB39" s="145">
        <f t="shared" si="7"/>
        <v>0</v>
      </c>
      <c r="BC39" s="150"/>
      <c r="BD39" s="151">
        <f t="shared" si="8"/>
        <v>0</v>
      </c>
      <c r="BE39" s="152">
        <f t="shared" si="9"/>
        <v>0</v>
      </c>
      <c r="BF39" s="140" t="s">
        <v>120</v>
      </c>
      <c r="BG39" s="153" t="s">
        <v>120</v>
      </c>
      <c r="BH39" s="154" t="s">
        <v>120</v>
      </c>
      <c r="BI39" s="155" t="s">
        <v>120</v>
      </c>
      <c r="BJ39" s="156" t="s">
        <v>120</v>
      </c>
      <c r="BK39" s="157"/>
      <c r="BL39" s="158">
        <f>_xlfn.XLOOKUP(L39,[1]Auslegungsgrundlagen!$A$9:$A$100,[1]Auslegungsgrundlagen!$U$9:$U$100)</f>
        <v>0</v>
      </c>
      <c r="BM39" s="137">
        <v>0</v>
      </c>
      <c r="BN39" s="159">
        <v>0</v>
      </c>
      <c r="BO39" s="152">
        <f t="shared" si="10"/>
        <v>0</v>
      </c>
      <c r="BP39" s="140" t="s">
        <v>120</v>
      </c>
      <c r="BQ39" s="143" t="s">
        <v>120</v>
      </c>
      <c r="BR39" s="160">
        <v>0</v>
      </c>
      <c r="BS39" s="142">
        <f t="shared" si="11"/>
        <v>0</v>
      </c>
      <c r="BT39" s="140" t="s">
        <v>120</v>
      </c>
      <c r="BU39" s="143" t="s">
        <v>120</v>
      </c>
      <c r="BV39" s="160">
        <v>0</v>
      </c>
      <c r="BW39" s="145">
        <f t="shared" si="12"/>
        <v>0</v>
      </c>
      <c r="BX39" s="146"/>
      <c r="BY39" s="140" t="s">
        <v>120</v>
      </c>
      <c r="BZ39" s="143" t="s">
        <v>120</v>
      </c>
      <c r="CA39" s="160">
        <v>0</v>
      </c>
      <c r="CB39" s="145">
        <f t="shared" si="13"/>
        <v>0</v>
      </c>
      <c r="CC39" s="146"/>
      <c r="CD39" s="151">
        <f t="shared" si="14"/>
        <v>0</v>
      </c>
      <c r="CE39" s="161" t="s">
        <v>120</v>
      </c>
      <c r="CF39" s="162" t="s">
        <v>120</v>
      </c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ht="12.3">
      <c r="A40" s="128" t="s">
        <v>215</v>
      </c>
      <c r="B40" s="129">
        <v>3250</v>
      </c>
      <c r="C40" s="129">
        <v>11750</v>
      </c>
      <c r="D40" s="129"/>
      <c r="E40" s="129"/>
      <c r="F40" s="130"/>
      <c r="G40" s="131" t="s">
        <v>213</v>
      </c>
      <c r="H40" s="131" t="s">
        <v>120</v>
      </c>
      <c r="I40" s="131" t="s">
        <v>120</v>
      </c>
      <c r="J40" s="131" t="s">
        <v>216</v>
      </c>
      <c r="K40" s="131" t="s">
        <v>483</v>
      </c>
      <c r="L40" s="177">
        <v>13</v>
      </c>
      <c r="M40" s="131" t="str">
        <f>_xlfn.XLOOKUP(L40,[1]Auslegungsgrundlagen!$A$9:$A$100,[1]Auslegungsgrundlagen!$B$9:$B$100)</f>
        <v>Etagenverteiler</v>
      </c>
      <c r="N40" s="132">
        <v>8</v>
      </c>
      <c r="O40" s="132">
        <v>23.25</v>
      </c>
      <c r="P40" s="133">
        <v>0</v>
      </c>
      <c r="Q40" s="134"/>
      <c r="R40" s="135">
        <f>_xlfn.XLOOKUP(L40,[1]Auslegungsgrundlagen!$A$9:$A$100,[1]Auslegungsgrundlagen!$M$9:$M$100)</f>
        <v>0</v>
      </c>
      <c r="S40" s="136">
        <f>_xlfn.XLOOKUP(L40,[1]Auslegungsgrundlagen!$A$9:$A$100,[1]Auslegungsgrundlagen!$Q$9:$Q$100)*P40</f>
        <v>0</v>
      </c>
      <c r="T40" s="137">
        <v>3500</v>
      </c>
      <c r="U40" s="137">
        <v>0</v>
      </c>
      <c r="V40" s="138">
        <v>0</v>
      </c>
      <c r="W40" s="139">
        <f t="shared" si="0"/>
        <v>3.5</v>
      </c>
      <c r="X40" s="140" t="s">
        <v>11</v>
      </c>
      <c r="Y40" s="137">
        <f>W40*1000</f>
        <v>3500</v>
      </c>
      <c r="Z40" s="141">
        <v>1</v>
      </c>
      <c r="AA40" s="142">
        <f t="shared" si="1"/>
        <v>3.5</v>
      </c>
      <c r="AB40" s="140" t="s">
        <v>120</v>
      </c>
      <c r="AC40" s="143" t="s">
        <v>120</v>
      </c>
      <c r="AD40" s="144">
        <v>0</v>
      </c>
      <c r="AE40" s="145">
        <f t="shared" si="2"/>
        <v>0</v>
      </c>
      <c r="AF40" s="146"/>
      <c r="AG40" s="140" t="s">
        <v>120</v>
      </c>
      <c r="AH40" s="143" t="s">
        <v>120</v>
      </c>
      <c r="AI40" s="144">
        <v>0</v>
      </c>
      <c r="AJ40" s="145">
        <f t="shared" si="3"/>
        <v>0</v>
      </c>
      <c r="AK40" s="146"/>
      <c r="AL40" s="147">
        <f t="shared" si="4"/>
        <v>3.5</v>
      </c>
      <c r="AM40" s="140" t="s">
        <v>120</v>
      </c>
      <c r="AN40" s="143" t="s">
        <v>120</v>
      </c>
      <c r="AO40" s="144">
        <v>0</v>
      </c>
      <c r="AP40" s="148">
        <v>0</v>
      </c>
      <c r="AQ40" s="142">
        <f t="shared" si="5"/>
        <v>0</v>
      </c>
      <c r="AR40" s="140" t="s">
        <v>120</v>
      </c>
      <c r="AS40" s="143" t="s">
        <v>120</v>
      </c>
      <c r="AT40" s="144">
        <v>0</v>
      </c>
      <c r="AU40" s="149">
        <v>0</v>
      </c>
      <c r="AV40" s="145">
        <f t="shared" si="6"/>
        <v>0</v>
      </c>
      <c r="AW40" s="146"/>
      <c r="AX40" s="140" t="s">
        <v>120</v>
      </c>
      <c r="AY40" s="143" t="s">
        <v>120</v>
      </c>
      <c r="AZ40" s="144">
        <v>0</v>
      </c>
      <c r="BA40" s="149">
        <v>0</v>
      </c>
      <c r="BB40" s="145">
        <f t="shared" si="7"/>
        <v>0</v>
      </c>
      <c r="BC40" s="150"/>
      <c r="BD40" s="151">
        <f t="shared" si="8"/>
        <v>0</v>
      </c>
      <c r="BE40" s="152">
        <f t="shared" si="9"/>
        <v>3.5</v>
      </c>
      <c r="BF40" s="140" t="s">
        <v>120</v>
      </c>
      <c r="BG40" s="153" t="s">
        <v>120</v>
      </c>
      <c r="BH40" s="154" t="s">
        <v>120</v>
      </c>
      <c r="BI40" s="155" t="s">
        <v>120</v>
      </c>
      <c r="BJ40" s="156" t="s">
        <v>120</v>
      </c>
      <c r="BK40" s="157"/>
      <c r="BL40" s="158">
        <f>_xlfn.XLOOKUP(L40,[1]Auslegungsgrundlagen!$A$9:$A$100,[1]Auslegungsgrundlagen!$U$9:$U$100)</f>
        <v>0</v>
      </c>
      <c r="BM40" s="137">
        <v>0</v>
      </c>
      <c r="BN40" s="159">
        <v>0</v>
      </c>
      <c r="BO40" s="152">
        <f t="shared" si="10"/>
        <v>0</v>
      </c>
      <c r="BP40" s="140" t="s">
        <v>120</v>
      </c>
      <c r="BQ40" s="143" t="s">
        <v>120</v>
      </c>
      <c r="BR40" s="160">
        <v>0</v>
      </c>
      <c r="BS40" s="142">
        <f t="shared" si="11"/>
        <v>0</v>
      </c>
      <c r="BT40" s="140" t="s">
        <v>120</v>
      </c>
      <c r="BU40" s="143" t="s">
        <v>120</v>
      </c>
      <c r="BV40" s="160">
        <v>0</v>
      </c>
      <c r="BW40" s="145">
        <f t="shared" si="12"/>
        <v>0</v>
      </c>
      <c r="BX40" s="146"/>
      <c r="BY40" s="140" t="s">
        <v>120</v>
      </c>
      <c r="BZ40" s="143" t="s">
        <v>120</v>
      </c>
      <c r="CA40" s="160">
        <v>0</v>
      </c>
      <c r="CB40" s="145">
        <f t="shared" si="13"/>
        <v>0</v>
      </c>
      <c r="CC40" s="146"/>
      <c r="CD40" s="151">
        <f t="shared" si="14"/>
        <v>0</v>
      </c>
      <c r="CE40" s="161" t="s">
        <v>120</v>
      </c>
      <c r="CF40" s="162" t="s">
        <v>120</v>
      </c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ht="12.3">
      <c r="A41" s="128" t="s">
        <v>456</v>
      </c>
      <c r="B41" s="129">
        <v>3250</v>
      </c>
      <c r="C41" s="129">
        <v>62675</v>
      </c>
      <c r="D41" s="129"/>
      <c r="E41" s="129"/>
      <c r="F41" s="130"/>
      <c r="G41" s="131" t="s">
        <v>213</v>
      </c>
      <c r="H41" s="131" t="s">
        <v>120</v>
      </c>
      <c r="I41" s="131" t="s">
        <v>120</v>
      </c>
      <c r="J41" s="131" t="s">
        <v>457</v>
      </c>
      <c r="K41" s="131" t="s">
        <v>156</v>
      </c>
      <c r="L41" s="177">
        <v>6</v>
      </c>
      <c r="M41" s="131" t="str">
        <f>_xlfn.XLOOKUP(L41,[1]Auslegungsgrundlagen!$A$9:$A$100,[1]Auslegungsgrundlagen!$B$9:$B$100)</f>
        <v>Verkehrsflächen, Flure</v>
      </c>
      <c r="N41" s="132">
        <v>67</v>
      </c>
      <c r="O41" s="132">
        <v>202.36</v>
      </c>
      <c r="P41" s="133">
        <v>0</v>
      </c>
      <c r="Q41" s="134"/>
      <c r="R41" s="135">
        <f>_xlfn.XLOOKUP(L41,[1]Auslegungsgrundlagen!$A$9:$A$100,[1]Auslegungsgrundlagen!$M$9:$M$100)</f>
        <v>0</v>
      </c>
      <c r="S41" s="136">
        <f>_xlfn.XLOOKUP(L41,[1]Auslegungsgrundlagen!$A$9:$A$100,[1]Auslegungsgrundlagen!$Q$9:$Q$100)*P41</f>
        <v>0</v>
      </c>
      <c r="T41" s="137">
        <v>0</v>
      </c>
      <c r="U41" s="137">
        <v>0</v>
      </c>
      <c r="V41" s="138">
        <v>0</v>
      </c>
      <c r="W41" s="139">
        <f t="shared" si="0"/>
        <v>0</v>
      </c>
      <c r="X41" s="140" t="s">
        <v>120</v>
      </c>
      <c r="Y41" s="137" t="s">
        <v>120</v>
      </c>
      <c r="Z41" s="141">
        <v>0</v>
      </c>
      <c r="AA41" s="142">
        <f t="shared" si="1"/>
        <v>0</v>
      </c>
      <c r="AB41" s="140" t="s">
        <v>120</v>
      </c>
      <c r="AC41" s="143" t="s">
        <v>120</v>
      </c>
      <c r="AD41" s="144">
        <v>0</v>
      </c>
      <c r="AE41" s="145">
        <f t="shared" si="2"/>
        <v>0</v>
      </c>
      <c r="AF41" s="146"/>
      <c r="AG41" s="140" t="s">
        <v>120</v>
      </c>
      <c r="AH41" s="143" t="s">
        <v>120</v>
      </c>
      <c r="AI41" s="144">
        <v>0</v>
      </c>
      <c r="AJ41" s="145">
        <f t="shared" si="3"/>
        <v>0</v>
      </c>
      <c r="AK41" s="146"/>
      <c r="AL41" s="147">
        <f t="shared" si="4"/>
        <v>0</v>
      </c>
      <c r="AM41" s="140" t="s">
        <v>120</v>
      </c>
      <c r="AN41" s="143" t="s">
        <v>120</v>
      </c>
      <c r="AO41" s="144">
        <v>0</v>
      </c>
      <c r="AP41" s="148">
        <v>0</v>
      </c>
      <c r="AQ41" s="142">
        <f t="shared" si="5"/>
        <v>0</v>
      </c>
      <c r="AR41" s="140" t="s">
        <v>120</v>
      </c>
      <c r="AS41" s="143" t="s">
        <v>120</v>
      </c>
      <c r="AT41" s="144">
        <v>0</v>
      </c>
      <c r="AU41" s="149">
        <v>0</v>
      </c>
      <c r="AV41" s="145">
        <f t="shared" si="6"/>
        <v>0</v>
      </c>
      <c r="AW41" s="146"/>
      <c r="AX41" s="140" t="s">
        <v>120</v>
      </c>
      <c r="AY41" s="143" t="s">
        <v>120</v>
      </c>
      <c r="AZ41" s="144">
        <v>0</v>
      </c>
      <c r="BA41" s="149">
        <v>0</v>
      </c>
      <c r="BB41" s="145">
        <f t="shared" si="7"/>
        <v>0</v>
      </c>
      <c r="BC41" s="150"/>
      <c r="BD41" s="151">
        <f t="shared" si="8"/>
        <v>0</v>
      </c>
      <c r="BE41" s="152">
        <f t="shared" si="9"/>
        <v>0</v>
      </c>
      <c r="BF41" s="140" t="s">
        <v>120</v>
      </c>
      <c r="BG41" s="153" t="s">
        <v>120</v>
      </c>
      <c r="BH41" s="154" t="s">
        <v>120</v>
      </c>
      <c r="BI41" s="155" t="s">
        <v>120</v>
      </c>
      <c r="BJ41" s="156" t="s">
        <v>120</v>
      </c>
      <c r="BK41" s="157"/>
      <c r="BL41" s="158">
        <f>_xlfn.XLOOKUP(L41,[1]Auslegungsgrundlagen!$A$9:$A$100,[1]Auslegungsgrundlagen!$U$9:$U$100)</f>
        <v>0</v>
      </c>
      <c r="BM41" s="137">
        <v>0</v>
      </c>
      <c r="BN41" s="159">
        <v>0</v>
      </c>
      <c r="BO41" s="152">
        <f t="shared" si="10"/>
        <v>0</v>
      </c>
      <c r="BP41" s="140" t="s">
        <v>120</v>
      </c>
      <c r="BQ41" s="143" t="s">
        <v>120</v>
      </c>
      <c r="BR41" s="160">
        <v>0</v>
      </c>
      <c r="BS41" s="142">
        <f t="shared" si="11"/>
        <v>0</v>
      </c>
      <c r="BT41" s="140" t="s">
        <v>120</v>
      </c>
      <c r="BU41" s="143" t="s">
        <v>120</v>
      </c>
      <c r="BV41" s="160">
        <v>0</v>
      </c>
      <c r="BW41" s="145">
        <f t="shared" si="12"/>
        <v>0</v>
      </c>
      <c r="BX41" s="146"/>
      <c r="BY41" s="140" t="s">
        <v>120</v>
      </c>
      <c r="BZ41" s="143" t="s">
        <v>120</v>
      </c>
      <c r="CA41" s="160">
        <v>0</v>
      </c>
      <c r="CB41" s="145">
        <f t="shared" si="13"/>
        <v>0</v>
      </c>
      <c r="CC41" s="146"/>
      <c r="CD41" s="151">
        <f t="shared" si="14"/>
        <v>0</v>
      </c>
      <c r="CE41" s="161" t="s">
        <v>120</v>
      </c>
      <c r="CF41" s="162" t="s">
        <v>120</v>
      </c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ht="12.3">
      <c r="A42" s="128" t="s">
        <v>222</v>
      </c>
      <c r="B42" s="129">
        <v>3250</v>
      </c>
      <c r="C42" s="129">
        <v>7150</v>
      </c>
      <c r="D42" s="129"/>
      <c r="E42" s="129"/>
      <c r="F42" s="130"/>
      <c r="G42" s="131" t="s">
        <v>213</v>
      </c>
      <c r="H42" s="131" t="s">
        <v>120</v>
      </c>
      <c r="I42" s="131" t="s">
        <v>120</v>
      </c>
      <c r="J42" s="131" t="s">
        <v>223</v>
      </c>
      <c r="K42" s="131" t="s">
        <v>184</v>
      </c>
      <c r="L42" s="177">
        <v>8</v>
      </c>
      <c r="M42" s="131" t="str">
        <f>_xlfn.XLOOKUP(L42,[1]Auslegungsgrundlagen!$A$9:$A$100,[1]Auslegungsgrundlagen!$B$9:$B$100)</f>
        <v>WCs</v>
      </c>
      <c r="N42" s="132">
        <v>3</v>
      </c>
      <c r="O42" s="132">
        <v>9.58</v>
      </c>
      <c r="P42" s="133">
        <v>0</v>
      </c>
      <c r="Q42" s="134"/>
      <c r="R42" s="135">
        <f>_xlfn.XLOOKUP(L42,[1]Auslegungsgrundlagen!$A$9:$A$100,[1]Auslegungsgrundlagen!$M$9:$M$100)</f>
        <v>0</v>
      </c>
      <c r="S42" s="136">
        <f>_xlfn.XLOOKUP(L42,[1]Auslegungsgrundlagen!$A$9:$A$100,[1]Auslegungsgrundlagen!$Q$9:$Q$100)*P42</f>
        <v>0</v>
      </c>
      <c r="T42" s="137">
        <v>0</v>
      </c>
      <c r="U42" s="137">
        <v>0</v>
      </c>
      <c r="V42" s="138">
        <v>0</v>
      </c>
      <c r="W42" s="139">
        <f t="shared" si="0"/>
        <v>0</v>
      </c>
      <c r="X42" s="140" t="s">
        <v>120</v>
      </c>
      <c r="Y42" s="137" t="s">
        <v>120</v>
      </c>
      <c r="Z42" s="141">
        <v>0</v>
      </c>
      <c r="AA42" s="142">
        <f t="shared" si="1"/>
        <v>0</v>
      </c>
      <c r="AB42" s="140" t="s">
        <v>120</v>
      </c>
      <c r="AC42" s="143" t="s">
        <v>120</v>
      </c>
      <c r="AD42" s="144">
        <v>0</v>
      </c>
      <c r="AE42" s="145">
        <f t="shared" si="2"/>
        <v>0</v>
      </c>
      <c r="AF42" s="146"/>
      <c r="AG42" s="140" t="s">
        <v>120</v>
      </c>
      <c r="AH42" s="143" t="s">
        <v>120</v>
      </c>
      <c r="AI42" s="144">
        <v>0</v>
      </c>
      <c r="AJ42" s="145">
        <f t="shared" si="3"/>
        <v>0</v>
      </c>
      <c r="AK42" s="146"/>
      <c r="AL42" s="147">
        <f t="shared" si="4"/>
        <v>0</v>
      </c>
      <c r="AM42" s="140" t="s">
        <v>120</v>
      </c>
      <c r="AN42" s="143" t="s">
        <v>120</v>
      </c>
      <c r="AO42" s="144">
        <v>0</v>
      </c>
      <c r="AP42" s="148">
        <v>0</v>
      </c>
      <c r="AQ42" s="142">
        <f t="shared" si="5"/>
        <v>0</v>
      </c>
      <c r="AR42" s="140" t="s">
        <v>120</v>
      </c>
      <c r="AS42" s="143" t="s">
        <v>120</v>
      </c>
      <c r="AT42" s="144">
        <v>0</v>
      </c>
      <c r="AU42" s="149">
        <v>0</v>
      </c>
      <c r="AV42" s="145">
        <f t="shared" si="6"/>
        <v>0</v>
      </c>
      <c r="AW42" s="146"/>
      <c r="AX42" s="140" t="s">
        <v>120</v>
      </c>
      <c r="AY42" s="143" t="s">
        <v>120</v>
      </c>
      <c r="AZ42" s="144">
        <v>0</v>
      </c>
      <c r="BA42" s="149">
        <v>0</v>
      </c>
      <c r="BB42" s="145">
        <f t="shared" si="7"/>
        <v>0</v>
      </c>
      <c r="BC42" s="150"/>
      <c r="BD42" s="151">
        <f t="shared" si="8"/>
        <v>0</v>
      </c>
      <c r="BE42" s="152">
        <f t="shared" si="9"/>
        <v>0</v>
      </c>
      <c r="BF42" s="140" t="s">
        <v>120</v>
      </c>
      <c r="BG42" s="153" t="s">
        <v>120</v>
      </c>
      <c r="BH42" s="154" t="s">
        <v>120</v>
      </c>
      <c r="BI42" s="155" t="s">
        <v>120</v>
      </c>
      <c r="BJ42" s="156" t="s">
        <v>120</v>
      </c>
      <c r="BK42" s="157"/>
      <c r="BL42" s="158">
        <f>_xlfn.XLOOKUP(L42,[1]Auslegungsgrundlagen!$A$9:$A$100,[1]Auslegungsgrundlagen!$U$9:$U$100)</f>
        <v>30</v>
      </c>
      <c r="BM42" s="137">
        <v>0</v>
      </c>
      <c r="BN42" s="159">
        <v>0</v>
      </c>
      <c r="BO42" s="152">
        <f t="shared" si="10"/>
        <v>0.09</v>
      </c>
      <c r="BP42" s="140" t="s">
        <v>12</v>
      </c>
      <c r="BQ42" s="143">
        <v>150</v>
      </c>
      <c r="BR42" s="160">
        <v>1</v>
      </c>
      <c r="BS42" s="142">
        <f t="shared" si="11"/>
        <v>0.15</v>
      </c>
      <c r="BT42" s="140" t="s">
        <v>120</v>
      </c>
      <c r="BU42" s="143" t="s">
        <v>120</v>
      </c>
      <c r="BV42" s="160">
        <v>0</v>
      </c>
      <c r="BW42" s="145">
        <f t="shared" si="12"/>
        <v>0</v>
      </c>
      <c r="BX42" s="146"/>
      <c r="BY42" s="140" t="s">
        <v>120</v>
      </c>
      <c r="BZ42" s="143" t="s">
        <v>120</v>
      </c>
      <c r="CA42" s="160">
        <v>0</v>
      </c>
      <c r="CB42" s="145">
        <f t="shared" si="13"/>
        <v>0</v>
      </c>
      <c r="CC42" s="146"/>
      <c r="CD42" s="151">
        <f t="shared" si="14"/>
        <v>0.15</v>
      </c>
      <c r="CE42" s="161" t="s">
        <v>120</v>
      </c>
      <c r="CF42" s="162" t="s">
        <v>120</v>
      </c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ht="12.3">
      <c r="A43" s="128" t="s">
        <v>252</v>
      </c>
      <c r="B43" s="129">
        <v>3250</v>
      </c>
      <c r="C43" s="129">
        <v>40730</v>
      </c>
      <c r="D43" s="129"/>
      <c r="E43" s="129"/>
      <c r="F43" s="130"/>
      <c r="G43" s="131" t="s">
        <v>213</v>
      </c>
      <c r="H43" s="131" t="s">
        <v>120</v>
      </c>
      <c r="I43" s="131" t="s">
        <v>120</v>
      </c>
      <c r="J43" s="131" t="s">
        <v>253</v>
      </c>
      <c r="K43" s="131" t="s">
        <v>156</v>
      </c>
      <c r="L43" s="177">
        <v>17</v>
      </c>
      <c r="M43" s="131" t="str">
        <f>_xlfn.XLOOKUP(L43,[1]Auslegungsgrundlagen!$A$9:$A$100,[1]Auslegungsgrundlagen!$B$9:$B$100)</f>
        <v>Treppenhäuser/Magistrale</v>
      </c>
      <c r="N43" s="132">
        <v>57</v>
      </c>
      <c r="O43" s="132">
        <v>170.66</v>
      </c>
      <c r="P43" s="133">
        <v>0</v>
      </c>
      <c r="Q43" s="134"/>
      <c r="R43" s="135">
        <f>_xlfn.XLOOKUP(L43,[1]Auslegungsgrundlagen!$A$9:$A$100,[1]Auslegungsgrundlagen!$M$9:$M$100)</f>
        <v>0</v>
      </c>
      <c r="S43" s="136">
        <f>_xlfn.XLOOKUP(L43,[1]Auslegungsgrundlagen!$A$9:$A$100,[1]Auslegungsgrundlagen!$Q$9:$Q$100)*P43</f>
        <v>0</v>
      </c>
      <c r="T43" s="137">
        <v>0</v>
      </c>
      <c r="U43" s="137">
        <v>0</v>
      </c>
      <c r="V43" s="138">
        <v>0</v>
      </c>
      <c r="W43" s="139">
        <f t="shared" ref="W43:W74" si="21">ROUND(IF(V43&lt;0,V43*(-1)/1000,IF(U43&lt;&gt;0,U43/1000,(R43*N43+S43+T43)/1000)),2)</f>
        <v>0</v>
      </c>
      <c r="X43" s="140" t="s">
        <v>120</v>
      </c>
      <c r="Y43" s="137" t="s">
        <v>120</v>
      </c>
      <c r="Z43" s="141">
        <v>0</v>
      </c>
      <c r="AA43" s="142">
        <f t="shared" ref="AA43:AA74" si="22">(IF(Y43="",0,Y43)*IF(Z43="",0,Z43))/1000</f>
        <v>0</v>
      </c>
      <c r="AB43" s="140" t="s">
        <v>120</v>
      </c>
      <c r="AC43" s="143" t="s">
        <v>120</v>
      </c>
      <c r="AD43" s="144">
        <v>0</v>
      </c>
      <c r="AE43" s="145">
        <f t="shared" ref="AE43:AE74" si="23">(IF(AC43="",0,AC43)*IF(AD43="",0,AD43))/1000</f>
        <v>0</v>
      </c>
      <c r="AF43" s="146"/>
      <c r="AG43" s="140" t="s">
        <v>120</v>
      </c>
      <c r="AH43" s="143" t="s">
        <v>120</v>
      </c>
      <c r="AI43" s="144">
        <v>0</v>
      </c>
      <c r="AJ43" s="145">
        <f t="shared" ref="AJ43:AJ74" si="24">(IF(AH43="",0,AH43)*IF(AI43="",0,AI43))/1000</f>
        <v>0</v>
      </c>
      <c r="AK43" s="146"/>
      <c r="AL43" s="147">
        <f t="shared" ref="AL43:AL74" si="25">IF(AA43="",0,AA43)+IF(AE43="",0,AE43)+IF(AJ43="",0,AJ43)</f>
        <v>0</v>
      </c>
      <c r="AM43" s="140" t="s">
        <v>120</v>
      </c>
      <c r="AN43" s="143" t="s">
        <v>120</v>
      </c>
      <c r="AO43" s="144">
        <v>0</v>
      </c>
      <c r="AP43" s="148">
        <v>0</v>
      </c>
      <c r="AQ43" s="142">
        <f t="shared" ref="AQ43:AQ74" si="26">(IF(AN43="",0,AN43)*IF(AO43="",0,AO43)*IF(AP43="",0,AP43))/1000</f>
        <v>0</v>
      </c>
      <c r="AR43" s="140" t="s">
        <v>120</v>
      </c>
      <c r="AS43" s="143" t="s">
        <v>120</v>
      </c>
      <c r="AT43" s="144">
        <v>0</v>
      </c>
      <c r="AU43" s="149">
        <v>0</v>
      </c>
      <c r="AV43" s="145">
        <f t="shared" ref="AV43:AV74" si="27">(IF(AS43="",0,AS43)*IF(AT43="",0,AT43)*IF(AU43="",0,AU43))/1000</f>
        <v>0</v>
      </c>
      <c r="AW43" s="146"/>
      <c r="AX43" s="140" t="s">
        <v>120</v>
      </c>
      <c r="AY43" s="143" t="s">
        <v>120</v>
      </c>
      <c r="AZ43" s="144">
        <v>0</v>
      </c>
      <c r="BA43" s="149">
        <v>0</v>
      </c>
      <c r="BB43" s="145">
        <f t="shared" ref="BB43:BB74" si="28">(IF(AY43="",0,AY43)*IF(AZ43="",0,AZ43)*IF(BA43="",0,BA43))/1000</f>
        <v>0</v>
      </c>
      <c r="BC43" s="150"/>
      <c r="BD43" s="151">
        <f t="shared" ref="BD43:BD74" si="29">IF(AQ43="",0,AQ43)+IF(AV43="",0,AV43)+IF(BB43="",0,BB43)</f>
        <v>0</v>
      </c>
      <c r="BE43" s="152">
        <f t="shared" ref="BE43:BE74" si="30">(BD43+AL43)</f>
        <v>0</v>
      </c>
      <c r="BF43" s="140" t="s">
        <v>120</v>
      </c>
      <c r="BG43" s="153" t="s">
        <v>120</v>
      </c>
      <c r="BH43" s="154" t="s">
        <v>120</v>
      </c>
      <c r="BI43" s="155" t="s">
        <v>120</v>
      </c>
      <c r="BJ43" s="156" t="s">
        <v>120</v>
      </c>
      <c r="BK43" s="157"/>
      <c r="BL43" s="158">
        <f>_xlfn.XLOOKUP(L43,[1]Auslegungsgrundlagen!$A$9:$A$100,[1]Auslegungsgrundlagen!$U$9:$U$100)</f>
        <v>25</v>
      </c>
      <c r="BM43" s="137">
        <v>0</v>
      </c>
      <c r="BN43" s="159">
        <v>0</v>
      </c>
      <c r="BO43" s="152">
        <f t="shared" ref="BO43:BO74" si="31">ROUND(IF(BN43&gt;0,BN43/1000,IF(BM43&gt;0,BM43/1000,BL43*N43/1000)),2)</f>
        <v>1.43</v>
      </c>
      <c r="BP43" s="140" t="s">
        <v>12</v>
      </c>
      <c r="BQ43" s="143">
        <f t="shared" ref="BQ43" si="32">BO43*1000</f>
        <v>1430</v>
      </c>
      <c r="BR43" s="160">
        <v>1</v>
      </c>
      <c r="BS43" s="142">
        <f t="shared" ref="BS43:BS74" si="33">(IF(BQ43="",0,BQ43)*IF(BR43="",0,BR43))/1000</f>
        <v>1.43</v>
      </c>
      <c r="BT43" s="140" t="s">
        <v>120</v>
      </c>
      <c r="BU43" s="143" t="s">
        <v>120</v>
      </c>
      <c r="BV43" s="160">
        <v>0</v>
      </c>
      <c r="BW43" s="145">
        <f t="shared" ref="BW43:BW74" si="34">(IF(BU43="",0,BU43)*IF(BV43="",0,BV43))/1000</f>
        <v>0</v>
      </c>
      <c r="BX43" s="146"/>
      <c r="BY43" s="140" t="s">
        <v>120</v>
      </c>
      <c r="BZ43" s="143" t="s">
        <v>120</v>
      </c>
      <c r="CA43" s="160">
        <v>0</v>
      </c>
      <c r="CB43" s="145">
        <f t="shared" ref="CB43:CB74" si="35">(IF(BZ43="",0,BZ43)*IF(CA43="",0,CA43))/1000</f>
        <v>0</v>
      </c>
      <c r="CC43" s="146"/>
      <c r="CD43" s="151">
        <f t="shared" ref="CD43:CD74" si="36">IF(BS43="",0,BS43)+IF(BW43="",0,BW43)+IF(CB43="",0,CB43)</f>
        <v>1.43</v>
      </c>
      <c r="CE43" s="161" t="s">
        <v>120</v>
      </c>
      <c r="CF43" s="162" t="s">
        <v>120</v>
      </c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ht="12.3">
      <c r="A44" s="128" t="s">
        <v>247</v>
      </c>
      <c r="B44" s="129">
        <v>3250</v>
      </c>
      <c r="C44" s="129">
        <v>12340</v>
      </c>
      <c r="D44" s="129"/>
      <c r="E44" s="129"/>
      <c r="F44" s="130"/>
      <c r="G44" s="131" t="s">
        <v>213</v>
      </c>
      <c r="H44" s="131" t="s">
        <v>120</v>
      </c>
      <c r="I44" s="131" t="s">
        <v>120</v>
      </c>
      <c r="J44" s="131" t="s">
        <v>248</v>
      </c>
      <c r="K44" s="131" t="s">
        <v>125</v>
      </c>
      <c r="L44" s="177">
        <v>11</v>
      </c>
      <c r="M44" s="131" t="str">
        <f>_xlfn.XLOOKUP(L44,[1]Auslegungsgrundlagen!$A$9:$A$100,[1]Auslegungsgrundlagen!$B$9:$B$100)</f>
        <v>Lager innenliegend</v>
      </c>
      <c r="N44" s="132">
        <v>9</v>
      </c>
      <c r="O44" s="132">
        <v>28.45</v>
      </c>
      <c r="P44" s="133">
        <v>0</v>
      </c>
      <c r="Q44" s="134"/>
      <c r="R44" s="135">
        <f>_xlfn.XLOOKUP(L44,[1]Auslegungsgrundlagen!$A$9:$A$100,[1]Auslegungsgrundlagen!$M$9:$M$100)</f>
        <v>0</v>
      </c>
      <c r="S44" s="136">
        <f>_xlfn.XLOOKUP(L44,[1]Auslegungsgrundlagen!$A$9:$A$100,[1]Auslegungsgrundlagen!$Q$9:$Q$100)*P44</f>
        <v>0</v>
      </c>
      <c r="T44" s="137">
        <v>0</v>
      </c>
      <c r="U44" s="137">
        <v>0</v>
      </c>
      <c r="V44" s="138">
        <v>0</v>
      </c>
      <c r="W44" s="139">
        <f t="shared" si="21"/>
        <v>0</v>
      </c>
      <c r="X44" s="140" t="s">
        <v>120</v>
      </c>
      <c r="Y44" s="137" t="s">
        <v>120</v>
      </c>
      <c r="Z44" s="141">
        <v>0</v>
      </c>
      <c r="AA44" s="142">
        <f t="shared" si="22"/>
        <v>0</v>
      </c>
      <c r="AB44" s="140" t="s">
        <v>120</v>
      </c>
      <c r="AC44" s="143" t="s">
        <v>120</v>
      </c>
      <c r="AD44" s="144">
        <v>0</v>
      </c>
      <c r="AE44" s="145">
        <f t="shared" si="23"/>
        <v>0</v>
      </c>
      <c r="AF44" s="146"/>
      <c r="AG44" s="140" t="s">
        <v>120</v>
      </c>
      <c r="AH44" s="143" t="s">
        <v>120</v>
      </c>
      <c r="AI44" s="144">
        <v>0</v>
      </c>
      <c r="AJ44" s="145">
        <f t="shared" si="24"/>
        <v>0</v>
      </c>
      <c r="AK44" s="146"/>
      <c r="AL44" s="147">
        <f t="shared" si="25"/>
        <v>0</v>
      </c>
      <c r="AM44" s="140" t="s">
        <v>120</v>
      </c>
      <c r="AN44" s="143" t="s">
        <v>120</v>
      </c>
      <c r="AO44" s="144">
        <v>0</v>
      </c>
      <c r="AP44" s="148">
        <v>0</v>
      </c>
      <c r="AQ44" s="142">
        <f t="shared" si="26"/>
        <v>0</v>
      </c>
      <c r="AR44" s="140" t="s">
        <v>120</v>
      </c>
      <c r="AS44" s="143" t="s">
        <v>120</v>
      </c>
      <c r="AT44" s="144">
        <v>0</v>
      </c>
      <c r="AU44" s="149">
        <v>0</v>
      </c>
      <c r="AV44" s="145">
        <f t="shared" si="27"/>
        <v>0</v>
      </c>
      <c r="AW44" s="146"/>
      <c r="AX44" s="140" t="s">
        <v>120</v>
      </c>
      <c r="AY44" s="143" t="s">
        <v>120</v>
      </c>
      <c r="AZ44" s="144">
        <v>0</v>
      </c>
      <c r="BA44" s="149">
        <v>0</v>
      </c>
      <c r="BB44" s="145">
        <f t="shared" si="28"/>
        <v>0</v>
      </c>
      <c r="BC44" s="150"/>
      <c r="BD44" s="151">
        <f t="shared" si="29"/>
        <v>0</v>
      </c>
      <c r="BE44" s="152">
        <f t="shared" si="30"/>
        <v>0</v>
      </c>
      <c r="BF44" s="140" t="s">
        <v>120</v>
      </c>
      <c r="BG44" s="153" t="s">
        <v>120</v>
      </c>
      <c r="BH44" s="154" t="s">
        <v>120</v>
      </c>
      <c r="BI44" s="155" t="s">
        <v>120</v>
      </c>
      <c r="BJ44" s="156" t="s">
        <v>120</v>
      </c>
      <c r="BK44" s="157"/>
      <c r="BL44" s="158">
        <f>_xlfn.XLOOKUP(L44,[1]Auslegungsgrundlagen!$A$9:$A$100,[1]Auslegungsgrundlagen!$U$9:$U$100)</f>
        <v>0</v>
      </c>
      <c r="BM44" s="137">
        <v>0</v>
      </c>
      <c r="BN44" s="159">
        <v>0</v>
      </c>
      <c r="BO44" s="152">
        <f t="shared" si="31"/>
        <v>0</v>
      </c>
      <c r="BP44" s="140" t="s">
        <v>120</v>
      </c>
      <c r="BQ44" s="143" t="s">
        <v>120</v>
      </c>
      <c r="BR44" s="160">
        <v>0</v>
      </c>
      <c r="BS44" s="142">
        <f t="shared" si="33"/>
        <v>0</v>
      </c>
      <c r="BT44" s="140" t="s">
        <v>120</v>
      </c>
      <c r="BU44" s="143" t="s">
        <v>120</v>
      </c>
      <c r="BV44" s="160">
        <v>0</v>
      </c>
      <c r="BW44" s="145">
        <f t="shared" si="34"/>
        <v>0</v>
      </c>
      <c r="BX44" s="146"/>
      <c r="BY44" s="140" t="s">
        <v>120</v>
      </c>
      <c r="BZ44" s="143" t="s">
        <v>120</v>
      </c>
      <c r="CA44" s="160">
        <v>0</v>
      </c>
      <c r="CB44" s="145">
        <f t="shared" si="35"/>
        <v>0</v>
      </c>
      <c r="CC44" s="146"/>
      <c r="CD44" s="151">
        <f t="shared" si="36"/>
        <v>0</v>
      </c>
      <c r="CE44" s="161" t="s">
        <v>120</v>
      </c>
      <c r="CF44" s="162" t="s">
        <v>120</v>
      </c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ht="12.3">
      <c r="A45" s="128" t="s">
        <v>245</v>
      </c>
      <c r="B45" s="129">
        <v>3250</v>
      </c>
      <c r="C45" s="129">
        <v>11800</v>
      </c>
      <c r="D45" s="129"/>
      <c r="E45" s="129"/>
      <c r="F45" s="130"/>
      <c r="G45" s="131" t="s">
        <v>213</v>
      </c>
      <c r="H45" s="131" t="s">
        <v>120</v>
      </c>
      <c r="I45" s="131" t="s">
        <v>120</v>
      </c>
      <c r="J45" s="131" t="s">
        <v>246</v>
      </c>
      <c r="K45" s="131" t="s">
        <v>122</v>
      </c>
      <c r="L45" s="177">
        <v>19</v>
      </c>
      <c r="M45" s="131" t="str">
        <f>_xlfn.XLOOKUP(L45,[1]Auslegungsgrundlagen!$A$9:$A$100,[1]Auslegungsgrundlagen!$B$9:$B$100)</f>
        <v>Aufzüge</v>
      </c>
      <c r="N45" s="132">
        <v>9</v>
      </c>
      <c r="O45" s="132">
        <v>26.1</v>
      </c>
      <c r="P45" s="133">
        <v>0</v>
      </c>
      <c r="Q45" s="134"/>
      <c r="R45" s="135">
        <f>_xlfn.XLOOKUP(L45,[1]Auslegungsgrundlagen!$A$9:$A$100,[1]Auslegungsgrundlagen!$M$9:$M$100)</f>
        <v>0</v>
      </c>
      <c r="S45" s="136">
        <f>_xlfn.XLOOKUP(L45,[1]Auslegungsgrundlagen!$A$9:$A$100,[1]Auslegungsgrundlagen!$Q$9:$Q$100)*P45</f>
        <v>0</v>
      </c>
      <c r="T45" s="137">
        <v>0</v>
      </c>
      <c r="U45" s="137">
        <v>0</v>
      </c>
      <c r="V45" s="138">
        <v>0</v>
      </c>
      <c r="W45" s="139">
        <f t="shared" si="21"/>
        <v>0</v>
      </c>
      <c r="X45" s="140" t="s">
        <v>120</v>
      </c>
      <c r="Y45" s="137" t="s">
        <v>120</v>
      </c>
      <c r="Z45" s="141">
        <v>0</v>
      </c>
      <c r="AA45" s="142">
        <f t="shared" si="22"/>
        <v>0</v>
      </c>
      <c r="AB45" s="140" t="s">
        <v>120</v>
      </c>
      <c r="AC45" s="143" t="s">
        <v>120</v>
      </c>
      <c r="AD45" s="144">
        <v>0</v>
      </c>
      <c r="AE45" s="145">
        <f t="shared" si="23"/>
        <v>0</v>
      </c>
      <c r="AF45" s="146"/>
      <c r="AG45" s="140" t="s">
        <v>120</v>
      </c>
      <c r="AH45" s="143" t="s">
        <v>120</v>
      </c>
      <c r="AI45" s="144">
        <v>0</v>
      </c>
      <c r="AJ45" s="145">
        <f t="shared" si="24"/>
        <v>0</v>
      </c>
      <c r="AK45" s="146"/>
      <c r="AL45" s="147">
        <f t="shared" si="25"/>
        <v>0</v>
      </c>
      <c r="AM45" s="140" t="s">
        <v>120</v>
      </c>
      <c r="AN45" s="143" t="s">
        <v>120</v>
      </c>
      <c r="AO45" s="144">
        <v>0</v>
      </c>
      <c r="AP45" s="148">
        <v>0</v>
      </c>
      <c r="AQ45" s="142">
        <f t="shared" si="26"/>
        <v>0</v>
      </c>
      <c r="AR45" s="140" t="s">
        <v>120</v>
      </c>
      <c r="AS45" s="143" t="s">
        <v>120</v>
      </c>
      <c r="AT45" s="144">
        <v>0</v>
      </c>
      <c r="AU45" s="149">
        <v>0</v>
      </c>
      <c r="AV45" s="145">
        <f t="shared" si="27"/>
        <v>0</v>
      </c>
      <c r="AW45" s="146"/>
      <c r="AX45" s="140" t="s">
        <v>120</v>
      </c>
      <c r="AY45" s="143" t="s">
        <v>120</v>
      </c>
      <c r="AZ45" s="144">
        <v>0</v>
      </c>
      <c r="BA45" s="149">
        <v>0</v>
      </c>
      <c r="BB45" s="145">
        <f t="shared" si="28"/>
        <v>0</v>
      </c>
      <c r="BC45" s="150"/>
      <c r="BD45" s="151">
        <f t="shared" si="29"/>
        <v>0</v>
      </c>
      <c r="BE45" s="152">
        <f t="shared" si="30"/>
        <v>0</v>
      </c>
      <c r="BF45" s="140" t="s">
        <v>120</v>
      </c>
      <c r="BG45" s="153" t="s">
        <v>120</v>
      </c>
      <c r="BH45" s="154" t="s">
        <v>120</v>
      </c>
      <c r="BI45" s="155" t="s">
        <v>120</v>
      </c>
      <c r="BJ45" s="156" t="s">
        <v>120</v>
      </c>
      <c r="BK45" s="157"/>
      <c r="BL45" s="158">
        <f>_xlfn.XLOOKUP(L45,[1]Auslegungsgrundlagen!$A$9:$A$100,[1]Auslegungsgrundlagen!$U$9:$U$100)</f>
        <v>0</v>
      </c>
      <c r="BM45" s="137">
        <v>0</v>
      </c>
      <c r="BN45" s="159">
        <v>0</v>
      </c>
      <c r="BO45" s="152">
        <f t="shared" si="31"/>
        <v>0</v>
      </c>
      <c r="BP45" s="140" t="s">
        <v>120</v>
      </c>
      <c r="BQ45" s="143" t="s">
        <v>120</v>
      </c>
      <c r="BR45" s="160">
        <v>0</v>
      </c>
      <c r="BS45" s="142">
        <f t="shared" si="33"/>
        <v>0</v>
      </c>
      <c r="BT45" s="140" t="s">
        <v>120</v>
      </c>
      <c r="BU45" s="143" t="s">
        <v>120</v>
      </c>
      <c r="BV45" s="160">
        <v>0</v>
      </c>
      <c r="BW45" s="145">
        <f t="shared" si="34"/>
        <v>0</v>
      </c>
      <c r="BX45" s="146"/>
      <c r="BY45" s="140" t="s">
        <v>120</v>
      </c>
      <c r="BZ45" s="143" t="s">
        <v>120</v>
      </c>
      <c r="CA45" s="160">
        <v>0</v>
      </c>
      <c r="CB45" s="145">
        <f t="shared" si="35"/>
        <v>0</v>
      </c>
      <c r="CC45" s="146"/>
      <c r="CD45" s="151">
        <f t="shared" si="36"/>
        <v>0</v>
      </c>
      <c r="CE45" s="161" t="s">
        <v>120</v>
      </c>
      <c r="CF45" s="162" t="s">
        <v>120</v>
      </c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ht="12.3">
      <c r="A46" s="128" t="s">
        <v>219</v>
      </c>
      <c r="B46" s="129">
        <v>3250</v>
      </c>
      <c r="C46" s="129">
        <v>7328</v>
      </c>
      <c r="D46" s="129"/>
      <c r="E46" s="129"/>
      <c r="F46" s="130"/>
      <c r="G46" s="131" t="s">
        <v>213</v>
      </c>
      <c r="H46" s="131" t="s">
        <v>120</v>
      </c>
      <c r="I46" s="131" t="s">
        <v>120</v>
      </c>
      <c r="J46" s="131" t="s">
        <v>220</v>
      </c>
      <c r="K46" s="131" t="s">
        <v>221</v>
      </c>
      <c r="L46" s="177">
        <v>8</v>
      </c>
      <c r="M46" s="131" t="str">
        <f>_xlfn.XLOOKUP(L46,[1]Auslegungsgrundlagen!$A$9:$A$100,[1]Auslegungsgrundlagen!$B$9:$B$100)</f>
        <v>WCs</v>
      </c>
      <c r="N46" s="132">
        <v>3</v>
      </c>
      <c r="O46" s="132">
        <v>10.050000000000001</v>
      </c>
      <c r="P46" s="133">
        <v>0</v>
      </c>
      <c r="Q46" s="134"/>
      <c r="R46" s="135">
        <f>_xlfn.XLOOKUP(L46,[1]Auslegungsgrundlagen!$A$9:$A$100,[1]Auslegungsgrundlagen!$M$9:$M$100)</f>
        <v>0</v>
      </c>
      <c r="S46" s="136">
        <f>_xlfn.XLOOKUP(L46,[1]Auslegungsgrundlagen!$A$9:$A$100,[1]Auslegungsgrundlagen!$Q$9:$Q$100)*P46</f>
        <v>0</v>
      </c>
      <c r="T46" s="137">
        <v>0</v>
      </c>
      <c r="U46" s="137">
        <v>0</v>
      </c>
      <c r="V46" s="138">
        <v>0</v>
      </c>
      <c r="W46" s="139">
        <f t="shared" si="21"/>
        <v>0</v>
      </c>
      <c r="X46" s="140" t="s">
        <v>120</v>
      </c>
      <c r="Y46" s="137" t="s">
        <v>120</v>
      </c>
      <c r="Z46" s="141">
        <v>0</v>
      </c>
      <c r="AA46" s="142">
        <f t="shared" si="22"/>
        <v>0</v>
      </c>
      <c r="AB46" s="140" t="s">
        <v>120</v>
      </c>
      <c r="AC46" s="143" t="s">
        <v>120</v>
      </c>
      <c r="AD46" s="144">
        <v>0</v>
      </c>
      <c r="AE46" s="145">
        <f t="shared" si="23"/>
        <v>0</v>
      </c>
      <c r="AF46" s="146"/>
      <c r="AG46" s="140" t="s">
        <v>120</v>
      </c>
      <c r="AH46" s="143" t="s">
        <v>120</v>
      </c>
      <c r="AI46" s="144">
        <v>0</v>
      </c>
      <c r="AJ46" s="145">
        <f t="shared" si="24"/>
        <v>0</v>
      </c>
      <c r="AK46" s="146"/>
      <c r="AL46" s="147">
        <f t="shared" si="25"/>
        <v>0</v>
      </c>
      <c r="AM46" s="140" t="s">
        <v>120</v>
      </c>
      <c r="AN46" s="143" t="s">
        <v>120</v>
      </c>
      <c r="AO46" s="144">
        <v>0</v>
      </c>
      <c r="AP46" s="148">
        <v>0</v>
      </c>
      <c r="AQ46" s="142">
        <f t="shared" si="26"/>
        <v>0</v>
      </c>
      <c r="AR46" s="140" t="s">
        <v>120</v>
      </c>
      <c r="AS46" s="143" t="s">
        <v>120</v>
      </c>
      <c r="AT46" s="144">
        <v>0</v>
      </c>
      <c r="AU46" s="149">
        <v>0</v>
      </c>
      <c r="AV46" s="145">
        <f t="shared" si="27"/>
        <v>0</v>
      </c>
      <c r="AW46" s="146"/>
      <c r="AX46" s="140" t="s">
        <v>120</v>
      </c>
      <c r="AY46" s="143" t="s">
        <v>120</v>
      </c>
      <c r="AZ46" s="144">
        <v>0</v>
      </c>
      <c r="BA46" s="149">
        <v>0</v>
      </c>
      <c r="BB46" s="145">
        <f t="shared" si="28"/>
        <v>0</v>
      </c>
      <c r="BC46" s="150"/>
      <c r="BD46" s="151">
        <f t="shared" si="29"/>
        <v>0</v>
      </c>
      <c r="BE46" s="152">
        <f t="shared" si="30"/>
        <v>0</v>
      </c>
      <c r="BF46" s="140" t="s">
        <v>120</v>
      </c>
      <c r="BG46" s="153" t="s">
        <v>120</v>
      </c>
      <c r="BH46" s="154" t="s">
        <v>120</v>
      </c>
      <c r="BI46" s="155" t="s">
        <v>120</v>
      </c>
      <c r="BJ46" s="156" t="s">
        <v>120</v>
      </c>
      <c r="BK46" s="157"/>
      <c r="BL46" s="158">
        <f>_xlfn.XLOOKUP(L46,[1]Auslegungsgrundlagen!$A$9:$A$100,[1]Auslegungsgrundlagen!$U$9:$U$100)</f>
        <v>30</v>
      </c>
      <c r="BM46" s="137">
        <v>0</v>
      </c>
      <c r="BN46" s="159">
        <v>0</v>
      </c>
      <c r="BO46" s="152">
        <f t="shared" si="31"/>
        <v>0.09</v>
      </c>
      <c r="BP46" s="140" t="s">
        <v>12</v>
      </c>
      <c r="BQ46" s="143">
        <f t="shared" ref="BQ46:BQ49" si="37">BO46*1000</f>
        <v>90</v>
      </c>
      <c r="BR46" s="160">
        <v>1</v>
      </c>
      <c r="BS46" s="142">
        <f t="shared" si="33"/>
        <v>0.09</v>
      </c>
      <c r="BT46" s="140" t="s">
        <v>120</v>
      </c>
      <c r="BU46" s="143" t="s">
        <v>120</v>
      </c>
      <c r="BV46" s="160">
        <v>0</v>
      </c>
      <c r="BW46" s="145">
        <f t="shared" si="34"/>
        <v>0</v>
      </c>
      <c r="BX46" s="146"/>
      <c r="BY46" s="140" t="s">
        <v>120</v>
      </c>
      <c r="BZ46" s="143" t="s">
        <v>120</v>
      </c>
      <c r="CA46" s="160">
        <v>0</v>
      </c>
      <c r="CB46" s="145">
        <f t="shared" si="35"/>
        <v>0</v>
      </c>
      <c r="CC46" s="146"/>
      <c r="CD46" s="151">
        <f t="shared" si="36"/>
        <v>0.09</v>
      </c>
      <c r="CE46" s="161" t="s">
        <v>120</v>
      </c>
      <c r="CF46" s="162" t="s">
        <v>120</v>
      </c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ht="12.3">
      <c r="A47" s="128" t="s">
        <v>217</v>
      </c>
      <c r="B47" s="129">
        <v>3250</v>
      </c>
      <c r="C47" s="129">
        <v>5317</v>
      </c>
      <c r="D47" s="129"/>
      <c r="E47" s="129"/>
      <c r="F47" s="130"/>
      <c r="G47" s="131" t="s">
        <v>213</v>
      </c>
      <c r="H47" s="131" t="s">
        <v>120</v>
      </c>
      <c r="I47" s="131" t="s">
        <v>120</v>
      </c>
      <c r="J47" s="131" t="s">
        <v>218</v>
      </c>
      <c r="K47" s="131" t="s">
        <v>171</v>
      </c>
      <c r="L47" s="177">
        <v>10</v>
      </c>
      <c r="M47" s="131" t="str">
        <f>_xlfn.XLOOKUP(L47,[1]Auslegungsgrundlagen!$A$9:$A$100,[1]Auslegungsgrundlagen!$B$9:$B$100)</f>
        <v>Putzmittel/ Lager</v>
      </c>
      <c r="N47" s="132">
        <v>2</v>
      </c>
      <c r="O47" s="132">
        <v>4.75</v>
      </c>
      <c r="P47" s="133">
        <v>0</v>
      </c>
      <c r="Q47" s="134"/>
      <c r="R47" s="135">
        <f>_xlfn.XLOOKUP(L47,[1]Auslegungsgrundlagen!$A$9:$A$100,[1]Auslegungsgrundlagen!$M$9:$M$100)</f>
        <v>0</v>
      </c>
      <c r="S47" s="136">
        <f>_xlfn.XLOOKUP(L47,[1]Auslegungsgrundlagen!$A$9:$A$100,[1]Auslegungsgrundlagen!$Q$9:$Q$100)*P47</f>
        <v>0</v>
      </c>
      <c r="T47" s="137">
        <v>0</v>
      </c>
      <c r="U47" s="137">
        <v>0</v>
      </c>
      <c r="V47" s="138">
        <v>0</v>
      </c>
      <c r="W47" s="139">
        <f t="shared" si="21"/>
        <v>0</v>
      </c>
      <c r="X47" s="140" t="s">
        <v>120</v>
      </c>
      <c r="Y47" s="137" t="s">
        <v>120</v>
      </c>
      <c r="Z47" s="141">
        <v>0</v>
      </c>
      <c r="AA47" s="142">
        <f t="shared" si="22"/>
        <v>0</v>
      </c>
      <c r="AB47" s="140" t="s">
        <v>120</v>
      </c>
      <c r="AC47" s="143" t="s">
        <v>120</v>
      </c>
      <c r="AD47" s="144">
        <v>0</v>
      </c>
      <c r="AE47" s="145">
        <f t="shared" si="23"/>
        <v>0</v>
      </c>
      <c r="AF47" s="146"/>
      <c r="AG47" s="140" t="s">
        <v>120</v>
      </c>
      <c r="AH47" s="143" t="s">
        <v>120</v>
      </c>
      <c r="AI47" s="144">
        <v>0</v>
      </c>
      <c r="AJ47" s="145">
        <f t="shared" si="24"/>
        <v>0</v>
      </c>
      <c r="AK47" s="146"/>
      <c r="AL47" s="147">
        <f t="shared" si="25"/>
        <v>0</v>
      </c>
      <c r="AM47" s="140" t="s">
        <v>120</v>
      </c>
      <c r="AN47" s="143" t="s">
        <v>120</v>
      </c>
      <c r="AO47" s="144">
        <v>0</v>
      </c>
      <c r="AP47" s="148">
        <v>0</v>
      </c>
      <c r="AQ47" s="142">
        <f t="shared" si="26"/>
        <v>0</v>
      </c>
      <c r="AR47" s="140" t="s">
        <v>120</v>
      </c>
      <c r="AS47" s="143" t="s">
        <v>120</v>
      </c>
      <c r="AT47" s="144">
        <v>0</v>
      </c>
      <c r="AU47" s="149">
        <v>0</v>
      </c>
      <c r="AV47" s="145">
        <f t="shared" si="27"/>
        <v>0</v>
      </c>
      <c r="AW47" s="146"/>
      <c r="AX47" s="140" t="s">
        <v>120</v>
      </c>
      <c r="AY47" s="143" t="s">
        <v>120</v>
      </c>
      <c r="AZ47" s="144">
        <v>0</v>
      </c>
      <c r="BA47" s="149">
        <v>0</v>
      </c>
      <c r="BB47" s="145">
        <f t="shared" si="28"/>
        <v>0</v>
      </c>
      <c r="BC47" s="150"/>
      <c r="BD47" s="151">
        <f t="shared" si="29"/>
        <v>0</v>
      </c>
      <c r="BE47" s="152">
        <f t="shared" si="30"/>
        <v>0</v>
      </c>
      <c r="BF47" s="140" t="s">
        <v>120</v>
      </c>
      <c r="BG47" s="153" t="s">
        <v>120</v>
      </c>
      <c r="BH47" s="154" t="s">
        <v>120</v>
      </c>
      <c r="BI47" s="155" t="s">
        <v>120</v>
      </c>
      <c r="BJ47" s="156" t="s">
        <v>120</v>
      </c>
      <c r="BK47" s="157"/>
      <c r="BL47" s="158">
        <f>_xlfn.XLOOKUP(L47,[1]Auslegungsgrundlagen!$A$9:$A$100,[1]Auslegungsgrundlagen!$U$9:$U$100)</f>
        <v>15</v>
      </c>
      <c r="BM47" s="137">
        <v>0</v>
      </c>
      <c r="BN47" s="159">
        <v>0</v>
      </c>
      <c r="BO47" s="152">
        <f t="shared" si="31"/>
        <v>0.03</v>
      </c>
      <c r="BP47" s="140"/>
      <c r="BQ47" s="143"/>
      <c r="BR47" s="160"/>
      <c r="BS47" s="142">
        <f t="shared" si="33"/>
        <v>0</v>
      </c>
      <c r="BT47" s="140" t="s">
        <v>120</v>
      </c>
      <c r="BU47" s="143" t="s">
        <v>120</v>
      </c>
      <c r="BV47" s="160">
        <v>0</v>
      </c>
      <c r="BW47" s="145">
        <f t="shared" si="34"/>
        <v>0</v>
      </c>
      <c r="BX47" s="146"/>
      <c r="BY47" s="140" t="s">
        <v>120</v>
      </c>
      <c r="BZ47" s="143" t="s">
        <v>120</v>
      </c>
      <c r="CA47" s="160">
        <v>0</v>
      </c>
      <c r="CB47" s="145">
        <f t="shared" si="35"/>
        <v>0</v>
      </c>
      <c r="CC47" s="146"/>
      <c r="CD47" s="151">
        <f t="shared" si="36"/>
        <v>0</v>
      </c>
      <c r="CE47" s="161" t="s">
        <v>120</v>
      </c>
      <c r="CF47" s="162" t="s">
        <v>120</v>
      </c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ht="12.3">
      <c r="A48" s="128" t="s">
        <v>224</v>
      </c>
      <c r="B48" s="129">
        <v>3250</v>
      </c>
      <c r="C48" s="129">
        <v>5535</v>
      </c>
      <c r="D48" s="129"/>
      <c r="E48" s="129"/>
      <c r="F48" s="130"/>
      <c r="G48" s="131" t="s">
        <v>213</v>
      </c>
      <c r="H48" s="131" t="s">
        <v>120</v>
      </c>
      <c r="I48" s="131" t="s">
        <v>120</v>
      </c>
      <c r="J48" s="131" t="s">
        <v>225</v>
      </c>
      <c r="K48" s="131" t="s">
        <v>184</v>
      </c>
      <c r="L48" s="177">
        <v>8</v>
      </c>
      <c r="M48" s="131" t="str">
        <f>_xlfn.XLOOKUP(L48,[1]Auslegungsgrundlagen!$A$9:$A$100,[1]Auslegungsgrundlagen!$B$9:$B$100)</f>
        <v>WCs</v>
      </c>
      <c r="N48" s="132">
        <v>2</v>
      </c>
      <c r="O48" s="132">
        <v>5.3</v>
      </c>
      <c r="P48" s="133">
        <v>0</v>
      </c>
      <c r="Q48" s="134"/>
      <c r="R48" s="135">
        <f>_xlfn.XLOOKUP(L48,[1]Auslegungsgrundlagen!$A$9:$A$100,[1]Auslegungsgrundlagen!$M$9:$M$100)</f>
        <v>0</v>
      </c>
      <c r="S48" s="136">
        <f>_xlfn.XLOOKUP(L48,[1]Auslegungsgrundlagen!$A$9:$A$100,[1]Auslegungsgrundlagen!$Q$9:$Q$100)*P48</f>
        <v>0</v>
      </c>
      <c r="T48" s="137">
        <v>0</v>
      </c>
      <c r="U48" s="137">
        <v>0</v>
      </c>
      <c r="V48" s="138">
        <v>0</v>
      </c>
      <c r="W48" s="139">
        <f t="shared" si="21"/>
        <v>0</v>
      </c>
      <c r="X48" s="140" t="s">
        <v>120</v>
      </c>
      <c r="Y48" s="137" t="s">
        <v>120</v>
      </c>
      <c r="Z48" s="141">
        <v>0</v>
      </c>
      <c r="AA48" s="142">
        <f t="shared" si="22"/>
        <v>0</v>
      </c>
      <c r="AB48" s="140" t="s">
        <v>120</v>
      </c>
      <c r="AC48" s="143" t="s">
        <v>120</v>
      </c>
      <c r="AD48" s="144">
        <v>0</v>
      </c>
      <c r="AE48" s="145">
        <f t="shared" si="23"/>
        <v>0</v>
      </c>
      <c r="AF48" s="146"/>
      <c r="AG48" s="140" t="s">
        <v>120</v>
      </c>
      <c r="AH48" s="143" t="s">
        <v>120</v>
      </c>
      <c r="AI48" s="144">
        <v>0</v>
      </c>
      <c r="AJ48" s="145">
        <f t="shared" si="24"/>
        <v>0</v>
      </c>
      <c r="AK48" s="146"/>
      <c r="AL48" s="147">
        <f t="shared" si="25"/>
        <v>0</v>
      </c>
      <c r="AM48" s="140" t="s">
        <v>120</v>
      </c>
      <c r="AN48" s="143" t="s">
        <v>120</v>
      </c>
      <c r="AO48" s="144">
        <v>0</v>
      </c>
      <c r="AP48" s="148">
        <v>0</v>
      </c>
      <c r="AQ48" s="142">
        <f t="shared" si="26"/>
        <v>0</v>
      </c>
      <c r="AR48" s="140" t="s">
        <v>120</v>
      </c>
      <c r="AS48" s="143" t="s">
        <v>120</v>
      </c>
      <c r="AT48" s="144">
        <v>0</v>
      </c>
      <c r="AU48" s="149">
        <v>0</v>
      </c>
      <c r="AV48" s="145">
        <f t="shared" si="27"/>
        <v>0</v>
      </c>
      <c r="AW48" s="146"/>
      <c r="AX48" s="140" t="s">
        <v>120</v>
      </c>
      <c r="AY48" s="143" t="s">
        <v>120</v>
      </c>
      <c r="AZ48" s="144">
        <v>0</v>
      </c>
      <c r="BA48" s="149">
        <v>0</v>
      </c>
      <c r="BB48" s="145">
        <f t="shared" si="28"/>
        <v>0</v>
      </c>
      <c r="BC48" s="150"/>
      <c r="BD48" s="151">
        <f t="shared" si="29"/>
        <v>0</v>
      </c>
      <c r="BE48" s="152">
        <f t="shared" si="30"/>
        <v>0</v>
      </c>
      <c r="BF48" s="140" t="s">
        <v>120</v>
      </c>
      <c r="BG48" s="153" t="s">
        <v>120</v>
      </c>
      <c r="BH48" s="154" t="s">
        <v>120</v>
      </c>
      <c r="BI48" s="155" t="s">
        <v>120</v>
      </c>
      <c r="BJ48" s="156" t="s">
        <v>120</v>
      </c>
      <c r="BK48" s="157"/>
      <c r="BL48" s="158">
        <f>_xlfn.XLOOKUP(L48,[1]Auslegungsgrundlagen!$A$9:$A$100,[1]Auslegungsgrundlagen!$U$9:$U$100)</f>
        <v>30</v>
      </c>
      <c r="BM48" s="137">
        <v>0</v>
      </c>
      <c r="BN48" s="159">
        <v>0</v>
      </c>
      <c r="BO48" s="152">
        <f t="shared" si="31"/>
        <v>0.06</v>
      </c>
      <c r="BP48" s="140" t="s">
        <v>12</v>
      </c>
      <c r="BQ48" s="143"/>
      <c r="BR48" s="160"/>
      <c r="BS48" s="142">
        <f t="shared" si="33"/>
        <v>0</v>
      </c>
      <c r="BT48" s="140" t="s">
        <v>120</v>
      </c>
      <c r="BU48" s="143" t="s">
        <v>120</v>
      </c>
      <c r="BV48" s="160">
        <v>0</v>
      </c>
      <c r="BW48" s="145">
        <f t="shared" si="34"/>
        <v>0</v>
      </c>
      <c r="BX48" s="146"/>
      <c r="BY48" s="140" t="s">
        <v>120</v>
      </c>
      <c r="BZ48" s="143" t="s">
        <v>120</v>
      </c>
      <c r="CA48" s="160">
        <v>0</v>
      </c>
      <c r="CB48" s="145">
        <f t="shared" si="35"/>
        <v>0</v>
      </c>
      <c r="CC48" s="146"/>
      <c r="CD48" s="151">
        <f t="shared" si="36"/>
        <v>0</v>
      </c>
      <c r="CE48" s="161" t="s">
        <v>120</v>
      </c>
      <c r="CF48" s="162" t="s">
        <v>120</v>
      </c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ht="12.3">
      <c r="A49" s="128" t="s">
        <v>239</v>
      </c>
      <c r="B49" s="129">
        <v>3250</v>
      </c>
      <c r="C49" s="129">
        <v>34384</v>
      </c>
      <c r="D49" s="129"/>
      <c r="E49" s="129"/>
      <c r="F49" s="130"/>
      <c r="G49" s="131" t="s">
        <v>213</v>
      </c>
      <c r="H49" s="131" t="s">
        <v>120</v>
      </c>
      <c r="I49" s="131" t="s">
        <v>120</v>
      </c>
      <c r="J49" s="131" t="s">
        <v>240</v>
      </c>
      <c r="K49" s="131" t="s">
        <v>200</v>
      </c>
      <c r="L49" s="177">
        <v>17</v>
      </c>
      <c r="M49" s="131" t="str">
        <f>_xlfn.XLOOKUP(L49,[1]Auslegungsgrundlagen!$A$9:$A$100,[1]Auslegungsgrundlagen!$B$9:$B$100)</f>
        <v>Treppenhäuser/Magistrale</v>
      </c>
      <c r="N49" s="132">
        <v>41</v>
      </c>
      <c r="O49" s="132">
        <v>122.92</v>
      </c>
      <c r="P49" s="133">
        <v>0</v>
      </c>
      <c r="Q49" s="134"/>
      <c r="R49" s="135">
        <f>_xlfn.XLOOKUP(L49,[1]Auslegungsgrundlagen!$A$9:$A$100,[1]Auslegungsgrundlagen!$M$9:$M$100)</f>
        <v>0</v>
      </c>
      <c r="S49" s="136">
        <f>_xlfn.XLOOKUP(L49,[1]Auslegungsgrundlagen!$A$9:$A$100,[1]Auslegungsgrundlagen!$Q$9:$Q$100)*P49</f>
        <v>0</v>
      </c>
      <c r="T49" s="137">
        <v>0</v>
      </c>
      <c r="U49" s="137">
        <v>0</v>
      </c>
      <c r="V49" s="138">
        <v>0</v>
      </c>
      <c r="W49" s="139">
        <f t="shared" si="21"/>
        <v>0</v>
      </c>
      <c r="X49" s="140" t="s">
        <v>120</v>
      </c>
      <c r="Y49" s="137" t="s">
        <v>120</v>
      </c>
      <c r="Z49" s="141">
        <v>0</v>
      </c>
      <c r="AA49" s="142">
        <f t="shared" si="22"/>
        <v>0</v>
      </c>
      <c r="AB49" s="140" t="s">
        <v>120</v>
      </c>
      <c r="AC49" s="143" t="s">
        <v>120</v>
      </c>
      <c r="AD49" s="144">
        <v>0</v>
      </c>
      <c r="AE49" s="145">
        <f t="shared" si="23"/>
        <v>0</v>
      </c>
      <c r="AF49" s="146"/>
      <c r="AG49" s="140" t="s">
        <v>120</v>
      </c>
      <c r="AH49" s="143" t="s">
        <v>120</v>
      </c>
      <c r="AI49" s="144">
        <v>0</v>
      </c>
      <c r="AJ49" s="145">
        <f t="shared" si="24"/>
        <v>0</v>
      </c>
      <c r="AK49" s="146"/>
      <c r="AL49" s="147">
        <f t="shared" si="25"/>
        <v>0</v>
      </c>
      <c r="AM49" s="140" t="s">
        <v>120</v>
      </c>
      <c r="AN49" s="143" t="s">
        <v>120</v>
      </c>
      <c r="AO49" s="144">
        <v>0</v>
      </c>
      <c r="AP49" s="148">
        <v>0</v>
      </c>
      <c r="AQ49" s="142">
        <f t="shared" si="26"/>
        <v>0</v>
      </c>
      <c r="AR49" s="140" t="s">
        <v>120</v>
      </c>
      <c r="AS49" s="143" t="s">
        <v>120</v>
      </c>
      <c r="AT49" s="144">
        <v>0</v>
      </c>
      <c r="AU49" s="149">
        <v>0</v>
      </c>
      <c r="AV49" s="145">
        <f t="shared" si="27"/>
        <v>0</v>
      </c>
      <c r="AW49" s="146"/>
      <c r="AX49" s="140" t="s">
        <v>120</v>
      </c>
      <c r="AY49" s="143" t="s">
        <v>120</v>
      </c>
      <c r="AZ49" s="144">
        <v>0</v>
      </c>
      <c r="BA49" s="149">
        <v>0</v>
      </c>
      <c r="BB49" s="145">
        <f t="shared" si="28"/>
        <v>0</v>
      </c>
      <c r="BC49" s="150"/>
      <c r="BD49" s="151">
        <f t="shared" si="29"/>
        <v>0</v>
      </c>
      <c r="BE49" s="152">
        <f t="shared" si="30"/>
        <v>0</v>
      </c>
      <c r="BF49" s="140" t="s">
        <v>120</v>
      </c>
      <c r="BG49" s="153" t="s">
        <v>120</v>
      </c>
      <c r="BH49" s="154" t="s">
        <v>120</v>
      </c>
      <c r="BI49" s="155" t="s">
        <v>120</v>
      </c>
      <c r="BJ49" s="156" t="s">
        <v>120</v>
      </c>
      <c r="BK49" s="157"/>
      <c r="BL49" s="158">
        <f>_xlfn.XLOOKUP(L49,[1]Auslegungsgrundlagen!$A$9:$A$100,[1]Auslegungsgrundlagen!$U$9:$U$100)</f>
        <v>25</v>
      </c>
      <c r="BM49" s="137">
        <v>0</v>
      </c>
      <c r="BN49" s="159">
        <v>0</v>
      </c>
      <c r="BO49" s="152">
        <f t="shared" si="31"/>
        <v>1.03</v>
      </c>
      <c r="BP49" s="140" t="s">
        <v>12</v>
      </c>
      <c r="BQ49" s="143">
        <f t="shared" si="37"/>
        <v>1030</v>
      </c>
      <c r="BR49" s="160">
        <v>1</v>
      </c>
      <c r="BS49" s="142">
        <f t="shared" si="33"/>
        <v>1.03</v>
      </c>
      <c r="BT49" s="140" t="s">
        <v>120</v>
      </c>
      <c r="BU49" s="143" t="s">
        <v>120</v>
      </c>
      <c r="BV49" s="160">
        <v>0</v>
      </c>
      <c r="BW49" s="145">
        <f t="shared" si="34"/>
        <v>0</v>
      </c>
      <c r="BX49" s="146"/>
      <c r="BY49" s="140" t="s">
        <v>120</v>
      </c>
      <c r="BZ49" s="143" t="s">
        <v>120</v>
      </c>
      <c r="CA49" s="160">
        <v>0</v>
      </c>
      <c r="CB49" s="145">
        <f t="shared" si="35"/>
        <v>0</v>
      </c>
      <c r="CC49" s="146"/>
      <c r="CD49" s="151">
        <f t="shared" si="36"/>
        <v>1.03</v>
      </c>
      <c r="CE49" s="161" t="s">
        <v>120</v>
      </c>
      <c r="CF49" s="162" t="s">
        <v>120</v>
      </c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ht="12.3">
      <c r="A50" s="128" t="s">
        <v>243</v>
      </c>
      <c r="B50" s="129">
        <v>3250</v>
      </c>
      <c r="C50" s="129">
        <v>7061</v>
      </c>
      <c r="D50" s="129"/>
      <c r="E50" s="129"/>
      <c r="F50" s="130"/>
      <c r="G50" s="131" t="s">
        <v>213</v>
      </c>
      <c r="H50" s="131" t="s">
        <v>120</v>
      </c>
      <c r="I50" s="131" t="s">
        <v>120</v>
      </c>
      <c r="J50" s="131" t="s">
        <v>244</v>
      </c>
      <c r="K50" s="131" t="s">
        <v>168</v>
      </c>
      <c r="L50" s="177">
        <v>18</v>
      </c>
      <c r="M50" s="131" t="str">
        <f>_xlfn.XLOOKUP(L50,[1]Auslegungsgrundlagen!$A$9:$A$100,[1]Auslegungsgrundlagen!$B$9:$B$100)</f>
        <v>Schächte</v>
      </c>
      <c r="N50" s="132">
        <v>3</v>
      </c>
      <c r="O50" s="132">
        <v>9.2799999999999994</v>
      </c>
      <c r="P50" s="133">
        <v>0</v>
      </c>
      <c r="Q50" s="134"/>
      <c r="R50" s="135">
        <f>_xlfn.XLOOKUP(L50,[1]Auslegungsgrundlagen!$A$9:$A$100,[1]Auslegungsgrundlagen!$M$9:$M$100)</f>
        <v>0</v>
      </c>
      <c r="S50" s="136">
        <f>_xlfn.XLOOKUP(L50,[1]Auslegungsgrundlagen!$A$9:$A$100,[1]Auslegungsgrundlagen!$Q$9:$Q$100)*P50</f>
        <v>0</v>
      </c>
      <c r="T50" s="137">
        <v>0</v>
      </c>
      <c r="U50" s="137">
        <v>0</v>
      </c>
      <c r="V50" s="138">
        <v>0</v>
      </c>
      <c r="W50" s="139">
        <f t="shared" si="21"/>
        <v>0</v>
      </c>
      <c r="X50" s="140" t="s">
        <v>120</v>
      </c>
      <c r="Y50" s="137" t="s">
        <v>120</v>
      </c>
      <c r="Z50" s="141">
        <v>0</v>
      </c>
      <c r="AA50" s="142">
        <f t="shared" si="22"/>
        <v>0</v>
      </c>
      <c r="AB50" s="140" t="s">
        <v>120</v>
      </c>
      <c r="AC50" s="143" t="s">
        <v>120</v>
      </c>
      <c r="AD50" s="144">
        <v>0</v>
      </c>
      <c r="AE50" s="145">
        <f t="shared" si="23"/>
        <v>0</v>
      </c>
      <c r="AF50" s="146"/>
      <c r="AG50" s="140" t="s">
        <v>120</v>
      </c>
      <c r="AH50" s="143" t="s">
        <v>120</v>
      </c>
      <c r="AI50" s="144">
        <v>0</v>
      </c>
      <c r="AJ50" s="145">
        <f t="shared" si="24"/>
        <v>0</v>
      </c>
      <c r="AK50" s="146"/>
      <c r="AL50" s="147">
        <f t="shared" si="25"/>
        <v>0</v>
      </c>
      <c r="AM50" s="140" t="s">
        <v>120</v>
      </c>
      <c r="AN50" s="143" t="s">
        <v>120</v>
      </c>
      <c r="AO50" s="144">
        <v>0</v>
      </c>
      <c r="AP50" s="148">
        <v>0</v>
      </c>
      <c r="AQ50" s="142">
        <f t="shared" si="26"/>
        <v>0</v>
      </c>
      <c r="AR50" s="140" t="s">
        <v>120</v>
      </c>
      <c r="AS50" s="143" t="s">
        <v>120</v>
      </c>
      <c r="AT50" s="144">
        <v>0</v>
      </c>
      <c r="AU50" s="149">
        <v>0</v>
      </c>
      <c r="AV50" s="145">
        <f t="shared" si="27"/>
        <v>0</v>
      </c>
      <c r="AW50" s="146"/>
      <c r="AX50" s="140" t="s">
        <v>120</v>
      </c>
      <c r="AY50" s="143" t="s">
        <v>120</v>
      </c>
      <c r="AZ50" s="144">
        <v>0</v>
      </c>
      <c r="BA50" s="149">
        <v>0</v>
      </c>
      <c r="BB50" s="145">
        <f t="shared" si="28"/>
        <v>0</v>
      </c>
      <c r="BC50" s="150"/>
      <c r="BD50" s="151">
        <f t="shared" si="29"/>
        <v>0</v>
      </c>
      <c r="BE50" s="152">
        <f t="shared" si="30"/>
        <v>0</v>
      </c>
      <c r="BF50" s="140" t="s">
        <v>120</v>
      </c>
      <c r="BG50" s="153" t="s">
        <v>120</v>
      </c>
      <c r="BH50" s="154" t="s">
        <v>120</v>
      </c>
      <c r="BI50" s="155" t="s">
        <v>120</v>
      </c>
      <c r="BJ50" s="156" t="s">
        <v>120</v>
      </c>
      <c r="BK50" s="157"/>
      <c r="BL50" s="158">
        <f>_xlfn.XLOOKUP(L50,[1]Auslegungsgrundlagen!$A$9:$A$100,[1]Auslegungsgrundlagen!$U$9:$U$100)</f>
        <v>0</v>
      </c>
      <c r="BM50" s="137">
        <v>0</v>
      </c>
      <c r="BN50" s="159">
        <v>0</v>
      </c>
      <c r="BO50" s="152">
        <f t="shared" si="31"/>
        <v>0</v>
      </c>
      <c r="BP50" s="140" t="s">
        <v>120</v>
      </c>
      <c r="BQ50" s="143" t="s">
        <v>120</v>
      </c>
      <c r="BR50" s="160">
        <v>0</v>
      </c>
      <c r="BS50" s="142">
        <f t="shared" si="33"/>
        <v>0</v>
      </c>
      <c r="BT50" s="140" t="s">
        <v>120</v>
      </c>
      <c r="BU50" s="143" t="s">
        <v>120</v>
      </c>
      <c r="BV50" s="160">
        <v>0</v>
      </c>
      <c r="BW50" s="145">
        <f t="shared" si="34"/>
        <v>0</v>
      </c>
      <c r="BX50" s="146"/>
      <c r="BY50" s="140" t="s">
        <v>120</v>
      </c>
      <c r="BZ50" s="143" t="s">
        <v>120</v>
      </c>
      <c r="CA50" s="160">
        <v>0</v>
      </c>
      <c r="CB50" s="145">
        <f t="shared" si="35"/>
        <v>0</v>
      </c>
      <c r="CC50" s="146"/>
      <c r="CD50" s="151">
        <f t="shared" si="36"/>
        <v>0</v>
      </c>
      <c r="CE50" s="161" t="s">
        <v>120</v>
      </c>
      <c r="CF50" s="162" t="s">
        <v>120</v>
      </c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ht="12.3">
      <c r="A51" s="128" t="s">
        <v>241</v>
      </c>
      <c r="B51" s="129">
        <v>3250</v>
      </c>
      <c r="C51" s="129">
        <v>6840</v>
      </c>
      <c r="D51" s="129"/>
      <c r="E51" s="129"/>
      <c r="F51" s="130"/>
      <c r="G51" s="131" t="s">
        <v>213</v>
      </c>
      <c r="H51" s="131" t="s">
        <v>120</v>
      </c>
      <c r="I51" s="131" t="s">
        <v>120</v>
      </c>
      <c r="J51" s="131" t="s">
        <v>242</v>
      </c>
      <c r="K51" s="131" t="s">
        <v>177</v>
      </c>
      <c r="L51" s="177">
        <v>14</v>
      </c>
      <c r="M51" s="131" t="str">
        <f>_xlfn.XLOOKUP(L51,[1]Auslegungsgrundlagen!$A$9:$A$100,[1]Auslegungsgrundlagen!$B$9:$B$100)</f>
        <v>ELT-Schacht</v>
      </c>
      <c r="N51" s="132">
        <v>3</v>
      </c>
      <c r="O51" s="132">
        <v>8.75</v>
      </c>
      <c r="P51" s="133">
        <v>0</v>
      </c>
      <c r="Q51" s="134"/>
      <c r="R51" s="135">
        <f>_xlfn.XLOOKUP(L51,[1]Auslegungsgrundlagen!$A$9:$A$100,[1]Auslegungsgrundlagen!$M$9:$M$100)</f>
        <v>0</v>
      </c>
      <c r="S51" s="136">
        <f>_xlfn.XLOOKUP(L51,[1]Auslegungsgrundlagen!$A$9:$A$100,[1]Auslegungsgrundlagen!$Q$9:$Q$100)*P51</f>
        <v>0</v>
      </c>
      <c r="T51" s="137">
        <v>0</v>
      </c>
      <c r="U51" s="137">
        <v>0</v>
      </c>
      <c r="V51" s="138">
        <v>0</v>
      </c>
      <c r="W51" s="139">
        <f t="shared" si="21"/>
        <v>0</v>
      </c>
      <c r="X51" s="140" t="s">
        <v>120</v>
      </c>
      <c r="Y51" s="137" t="s">
        <v>120</v>
      </c>
      <c r="Z51" s="141">
        <v>0</v>
      </c>
      <c r="AA51" s="142">
        <f t="shared" si="22"/>
        <v>0</v>
      </c>
      <c r="AB51" s="140" t="s">
        <v>120</v>
      </c>
      <c r="AC51" s="143" t="s">
        <v>120</v>
      </c>
      <c r="AD51" s="144">
        <v>0</v>
      </c>
      <c r="AE51" s="145">
        <f t="shared" si="23"/>
        <v>0</v>
      </c>
      <c r="AF51" s="146"/>
      <c r="AG51" s="140" t="s">
        <v>120</v>
      </c>
      <c r="AH51" s="143" t="s">
        <v>120</v>
      </c>
      <c r="AI51" s="144">
        <v>0</v>
      </c>
      <c r="AJ51" s="145">
        <f t="shared" si="24"/>
        <v>0</v>
      </c>
      <c r="AK51" s="146"/>
      <c r="AL51" s="147">
        <f t="shared" si="25"/>
        <v>0</v>
      </c>
      <c r="AM51" s="140" t="s">
        <v>120</v>
      </c>
      <c r="AN51" s="143" t="s">
        <v>120</v>
      </c>
      <c r="AO51" s="144">
        <v>0</v>
      </c>
      <c r="AP51" s="148">
        <v>0</v>
      </c>
      <c r="AQ51" s="142">
        <f t="shared" si="26"/>
        <v>0</v>
      </c>
      <c r="AR51" s="140" t="s">
        <v>120</v>
      </c>
      <c r="AS51" s="143" t="s">
        <v>120</v>
      </c>
      <c r="AT51" s="144">
        <v>0</v>
      </c>
      <c r="AU51" s="149">
        <v>0</v>
      </c>
      <c r="AV51" s="145">
        <f t="shared" si="27"/>
        <v>0</v>
      </c>
      <c r="AW51" s="146"/>
      <c r="AX51" s="140" t="s">
        <v>120</v>
      </c>
      <c r="AY51" s="143" t="s">
        <v>120</v>
      </c>
      <c r="AZ51" s="144">
        <v>0</v>
      </c>
      <c r="BA51" s="149">
        <v>0</v>
      </c>
      <c r="BB51" s="145">
        <f t="shared" si="28"/>
        <v>0</v>
      </c>
      <c r="BC51" s="150"/>
      <c r="BD51" s="151">
        <f t="shared" si="29"/>
        <v>0</v>
      </c>
      <c r="BE51" s="152">
        <f t="shared" si="30"/>
        <v>0</v>
      </c>
      <c r="BF51" s="140" t="s">
        <v>120</v>
      </c>
      <c r="BG51" s="153" t="s">
        <v>120</v>
      </c>
      <c r="BH51" s="154" t="s">
        <v>120</v>
      </c>
      <c r="BI51" s="155" t="s">
        <v>120</v>
      </c>
      <c r="BJ51" s="156" t="s">
        <v>120</v>
      </c>
      <c r="BK51" s="157"/>
      <c r="BL51" s="158">
        <f>_xlfn.XLOOKUP(L51,[1]Auslegungsgrundlagen!$A$9:$A$100,[1]Auslegungsgrundlagen!$U$9:$U$100)</f>
        <v>0</v>
      </c>
      <c r="BM51" s="137">
        <v>0</v>
      </c>
      <c r="BN51" s="159">
        <v>0</v>
      </c>
      <c r="BO51" s="152">
        <f t="shared" si="31"/>
        <v>0</v>
      </c>
      <c r="BP51" s="140" t="s">
        <v>120</v>
      </c>
      <c r="BQ51" s="143" t="s">
        <v>120</v>
      </c>
      <c r="BR51" s="160">
        <v>0</v>
      </c>
      <c r="BS51" s="142">
        <f t="shared" si="33"/>
        <v>0</v>
      </c>
      <c r="BT51" s="140" t="s">
        <v>120</v>
      </c>
      <c r="BU51" s="143" t="s">
        <v>120</v>
      </c>
      <c r="BV51" s="160">
        <v>0</v>
      </c>
      <c r="BW51" s="145">
        <f t="shared" si="34"/>
        <v>0</v>
      </c>
      <c r="BX51" s="146"/>
      <c r="BY51" s="140" t="s">
        <v>120</v>
      </c>
      <c r="BZ51" s="143" t="s">
        <v>120</v>
      </c>
      <c r="CA51" s="160">
        <v>0</v>
      </c>
      <c r="CB51" s="145">
        <f t="shared" si="35"/>
        <v>0</v>
      </c>
      <c r="CC51" s="146"/>
      <c r="CD51" s="151">
        <f t="shared" si="36"/>
        <v>0</v>
      </c>
      <c r="CE51" s="161" t="s">
        <v>120</v>
      </c>
      <c r="CF51" s="162" t="s">
        <v>120</v>
      </c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ht="12.3">
      <c r="A52" s="128" t="s">
        <v>458</v>
      </c>
      <c r="B52" s="129">
        <v>3250</v>
      </c>
      <c r="C52" s="129">
        <v>41810</v>
      </c>
      <c r="D52" s="129"/>
      <c r="E52" s="129"/>
      <c r="F52" s="130"/>
      <c r="G52" s="131" t="s">
        <v>255</v>
      </c>
      <c r="H52" s="131" t="s">
        <v>120</v>
      </c>
      <c r="I52" s="131" t="s">
        <v>120</v>
      </c>
      <c r="J52" s="131" t="s">
        <v>459</v>
      </c>
      <c r="K52" s="131" t="s">
        <v>460</v>
      </c>
      <c r="L52" s="177">
        <v>20</v>
      </c>
      <c r="M52" s="131" t="str">
        <f>_xlfn.XLOOKUP(L52,[1]Auslegungsgrundlagen!$A$9:$A$100,[1]Auslegungsgrundlagen!$B$9:$B$100)</f>
        <v>Serminarraum</v>
      </c>
      <c r="N52" s="132">
        <v>102</v>
      </c>
      <c r="O52" s="132">
        <v>305.14</v>
      </c>
      <c r="P52" s="133">
        <v>0</v>
      </c>
      <c r="Q52" s="134"/>
      <c r="R52" s="135">
        <f>_xlfn.XLOOKUP(L52,[1]Auslegungsgrundlagen!$A$9:$A$100,[1]Auslegungsgrundlagen!$M$9:$M$100)</f>
        <v>50</v>
      </c>
      <c r="S52" s="136">
        <f>_xlfn.XLOOKUP(L52,[1]Auslegungsgrundlagen!$A$9:$A$100,[1]Auslegungsgrundlagen!$Q$9:$Q$100)*P52</f>
        <v>0</v>
      </c>
      <c r="T52" s="137">
        <v>0</v>
      </c>
      <c r="U52" s="137">
        <v>0</v>
      </c>
      <c r="V52" s="138">
        <v>0</v>
      </c>
      <c r="W52" s="139">
        <f t="shared" si="21"/>
        <v>5.0999999999999996</v>
      </c>
      <c r="X52" s="140" t="s">
        <v>481</v>
      </c>
      <c r="Y52" s="137">
        <f t="shared" ref="Y52:Y53" si="38">W52*1000</f>
        <v>5100</v>
      </c>
      <c r="Z52" s="141">
        <v>1</v>
      </c>
      <c r="AA52" s="142">
        <f t="shared" si="22"/>
        <v>5.0999999999999996</v>
      </c>
      <c r="AB52" s="140" t="s">
        <v>120</v>
      </c>
      <c r="AC52" s="143" t="s">
        <v>120</v>
      </c>
      <c r="AD52" s="144">
        <v>0</v>
      </c>
      <c r="AE52" s="145">
        <f t="shared" si="23"/>
        <v>0</v>
      </c>
      <c r="AF52" s="146"/>
      <c r="AG52" s="140" t="s">
        <v>120</v>
      </c>
      <c r="AH52" s="143" t="s">
        <v>120</v>
      </c>
      <c r="AI52" s="144">
        <v>0</v>
      </c>
      <c r="AJ52" s="145">
        <f t="shared" si="24"/>
        <v>0</v>
      </c>
      <c r="AK52" s="146"/>
      <c r="AL52" s="147">
        <f t="shared" si="25"/>
        <v>5.0999999999999996</v>
      </c>
      <c r="AM52" s="140" t="s">
        <v>120</v>
      </c>
      <c r="AN52" s="143" t="s">
        <v>120</v>
      </c>
      <c r="AO52" s="144">
        <v>0</v>
      </c>
      <c r="AP52" s="148">
        <v>0</v>
      </c>
      <c r="AQ52" s="142">
        <f t="shared" si="26"/>
        <v>0</v>
      </c>
      <c r="AR52" s="140" t="s">
        <v>120</v>
      </c>
      <c r="AS52" s="143" t="s">
        <v>120</v>
      </c>
      <c r="AT52" s="144">
        <v>0</v>
      </c>
      <c r="AU52" s="149">
        <v>0</v>
      </c>
      <c r="AV52" s="145">
        <f t="shared" si="27"/>
        <v>0</v>
      </c>
      <c r="AW52" s="146"/>
      <c r="AX52" s="140" t="s">
        <v>120</v>
      </c>
      <c r="AY52" s="143" t="s">
        <v>120</v>
      </c>
      <c r="AZ52" s="144">
        <v>0</v>
      </c>
      <c r="BA52" s="149">
        <v>0</v>
      </c>
      <c r="BB52" s="145">
        <f t="shared" si="28"/>
        <v>0</v>
      </c>
      <c r="BC52" s="150"/>
      <c r="BD52" s="151">
        <f t="shared" si="29"/>
        <v>0</v>
      </c>
      <c r="BE52" s="152">
        <f t="shared" si="30"/>
        <v>5.0999999999999996</v>
      </c>
      <c r="BF52" s="140" t="s">
        <v>120</v>
      </c>
      <c r="BG52" s="153" t="s">
        <v>120</v>
      </c>
      <c r="BH52" s="154" t="s">
        <v>120</v>
      </c>
      <c r="BI52" s="155" t="s">
        <v>120</v>
      </c>
      <c r="BJ52" s="156" t="s">
        <v>120</v>
      </c>
      <c r="BK52" s="157"/>
      <c r="BL52" s="158">
        <f>_xlfn.XLOOKUP(L52,[1]Auslegungsgrundlagen!$A$9:$A$100,[1]Auslegungsgrundlagen!$U$9:$U$100)</f>
        <v>40</v>
      </c>
      <c r="BM52" s="137">
        <v>0</v>
      </c>
      <c r="BN52" s="159">
        <v>0</v>
      </c>
      <c r="BO52" s="152">
        <f t="shared" si="31"/>
        <v>4.08</v>
      </c>
      <c r="BP52" s="140" t="s">
        <v>481</v>
      </c>
      <c r="BQ52" s="143">
        <f t="shared" ref="BQ52:BQ53" si="39">BO52*1000</f>
        <v>4080</v>
      </c>
      <c r="BR52" s="160">
        <v>1</v>
      </c>
      <c r="BS52" s="142">
        <f t="shared" si="33"/>
        <v>4.08</v>
      </c>
      <c r="BT52" s="140" t="s">
        <v>120</v>
      </c>
      <c r="BU52" s="143" t="s">
        <v>120</v>
      </c>
      <c r="BV52" s="160">
        <v>0</v>
      </c>
      <c r="BW52" s="145">
        <f t="shared" si="34"/>
        <v>0</v>
      </c>
      <c r="BX52" s="146"/>
      <c r="BY52" s="140" t="s">
        <v>120</v>
      </c>
      <c r="BZ52" s="143" t="s">
        <v>120</v>
      </c>
      <c r="CA52" s="160">
        <v>0</v>
      </c>
      <c r="CB52" s="145">
        <f t="shared" si="35"/>
        <v>0</v>
      </c>
      <c r="CC52" s="146"/>
      <c r="CD52" s="151">
        <f t="shared" si="36"/>
        <v>4.08</v>
      </c>
      <c r="CE52" s="161" t="s">
        <v>120</v>
      </c>
      <c r="CF52" s="162" t="s">
        <v>120</v>
      </c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ht="12.3">
      <c r="A53" s="128" t="s">
        <v>294</v>
      </c>
      <c r="B53" s="129">
        <v>3250</v>
      </c>
      <c r="C53" s="129">
        <v>49882</v>
      </c>
      <c r="D53" s="129"/>
      <c r="E53" s="129"/>
      <c r="F53" s="130"/>
      <c r="G53" s="131" t="s">
        <v>255</v>
      </c>
      <c r="H53" s="131" t="s">
        <v>120</v>
      </c>
      <c r="I53" s="131" t="s">
        <v>120</v>
      </c>
      <c r="J53" s="131" t="s">
        <v>295</v>
      </c>
      <c r="K53" s="131" t="s">
        <v>296</v>
      </c>
      <c r="L53" s="177">
        <v>1</v>
      </c>
      <c r="M53" s="131" t="str">
        <f>_xlfn.XLOOKUP(L53,[1]Auslegungsgrundlagen!$A$9:$A$100,[1]Auslegungsgrundlagen!$B$9:$B$100)</f>
        <v>Flex-/ Co-Work/</v>
      </c>
      <c r="N53" s="132">
        <v>126</v>
      </c>
      <c r="O53" s="132">
        <v>378.75</v>
      </c>
      <c r="P53" s="133">
        <v>0</v>
      </c>
      <c r="Q53" s="134"/>
      <c r="R53" s="135">
        <f>_xlfn.XLOOKUP(L53,[1]Auslegungsgrundlagen!$A$9:$A$100,[1]Auslegungsgrundlagen!$M$9:$M$100)</f>
        <v>50</v>
      </c>
      <c r="S53" s="136">
        <f>_xlfn.XLOOKUP(L53,[1]Auslegungsgrundlagen!$A$9:$A$100,[1]Auslegungsgrundlagen!$Q$9:$Q$100)*P53</f>
        <v>0</v>
      </c>
      <c r="T53" s="137">
        <v>0</v>
      </c>
      <c r="U53" s="137">
        <v>0</v>
      </c>
      <c r="V53" s="138">
        <v>0</v>
      </c>
      <c r="W53" s="139">
        <f t="shared" si="21"/>
        <v>6.3</v>
      </c>
      <c r="X53" s="140" t="s">
        <v>481</v>
      </c>
      <c r="Y53" s="137">
        <f t="shared" si="38"/>
        <v>6300</v>
      </c>
      <c r="Z53" s="141">
        <v>1</v>
      </c>
      <c r="AA53" s="142">
        <f t="shared" si="22"/>
        <v>6.3</v>
      </c>
      <c r="AB53" s="140" t="s">
        <v>120</v>
      </c>
      <c r="AC53" s="143" t="s">
        <v>120</v>
      </c>
      <c r="AD53" s="144">
        <v>0</v>
      </c>
      <c r="AE53" s="145">
        <f t="shared" si="23"/>
        <v>0</v>
      </c>
      <c r="AF53" s="146"/>
      <c r="AG53" s="140" t="s">
        <v>120</v>
      </c>
      <c r="AH53" s="143" t="s">
        <v>120</v>
      </c>
      <c r="AI53" s="144">
        <v>0</v>
      </c>
      <c r="AJ53" s="145">
        <f t="shared" si="24"/>
        <v>0</v>
      </c>
      <c r="AK53" s="146"/>
      <c r="AL53" s="147">
        <f t="shared" si="25"/>
        <v>6.3</v>
      </c>
      <c r="AM53" s="140" t="s">
        <v>120</v>
      </c>
      <c r="AN53" s="143" t="s">
        <v>120</v>
      </c>
      <c r="AO53" s="144">
        <v>0</v>
      </c>
      <c r="AP53" s="148">
        <v>0</v>
      </c>
      <c r="AQ53" s="142">
        <f t="shared" si="26"/>
        <v>0</v>
      </c>
      <c r="AR53" s="140" t="s">
        <v>120</v>
      </c>
      <c r="AS53" s="143" t="s">
        <v>120</v>
      </c>
      <c r="AT53" s="144">
        <v>0</v>
      </c>
      <c r="AU53" s="149">
        <v>0</v>
      </c>
      <c r="AV53" s="145">
        <f t="shared" si="27"/>
        <v>0</v>
      </c>
      <c r="AW53" s="146"/>
      <c r="AX53" s="140" t="s">
        <v>120</v>
      </c>
      <c r="AY53" s="143" t="s">
        <v>120</v>
      </c>
      <c r="AZ53" s="144">
        <v>0</v>
      </c>
      <c r="BA53" s="149">
        <v>0</v>
      </c>
      <c r="BB53" s="145">
        <f t="shared" si="28"/>
        <v>0</v>
      </c>
      <c r="BC53" s="150"/>
      <c r="BD53" s="151">
        <f t="shared" si="29"/>
        <v>0</v>
      </c>
      <c r="BE53" s="152">
        <f t="shared" si="30"/>
        <v>6.3</v>
      </c>
      <c r="BF53" s="140" t="s">
        <v>120</v>
      </c>
      <c r="BG53" s="153" t="s">
        <v>120</v>
      </c>
      <c r="BH53" s="154" t="s">
        <v>120</v>
      </c>
      <c r="BI53" s="155" t="s">
        <v>120</v>
      </c>
      <c r="BJ53" s="156" t="s">
        <v>120</v>
      </c>
      <c r="BK53" s="157"/>
      <c r="BL53" s="158">
        <f>_xlfn.XLOOKUP(L53,[1]Auslegungsgrundlagen!$A$9:$A$100,[1]Auslegungsgrundlagen!$U$9:$U$100)</f>
        <v>40</v>
      </c>
      <c r="BM53" s="137">
        <v>0</v>
      </c>
      <c r="BN53" s="159">
        <v>0</v>
      </c>
      <c r="BO53" s="152">
        <f t="shared" si="31"/>
        <v>5.04</v>
      </c>
      <c r="BP53" s="140" t="s">
        <v>481</v>
      </c>
      <c r="BQ53" s="143">
        <f t="shared" si="39"/>
        <v>5040</v>
      </c>
      <c r="BR53" s="160">
        <v>1</v>
      </c>
      <c r="BS53" s="142">
        <f t="shared" si="33"/>
        <v>5.04</v>
      </c>
      <c r="BT53" s="140" t="s">
        <v>120</v>
      </c>
      <c r="BU53" s="143" t="s">
        <v>120</v>
      </c>
      <c r="BV53" s="160">
        <v>0</v>
      </c>
      <c r="BW53" s="145">
        <f t="shared" si="34"/>
        <v>0</v>
      </c>
      <c r="BX53" s="146"/>
      <c r="BY53" s="140" t="s">
        <v>120</v>
      </c>
      <c r="BZ53" s="143" t="s">
        <v>120</v>
      </c>
      <c r="CA53" s="160">
        <v>0</v>
      </c>
      <c r="CB53" s="145">
        <f t="shared" si="35"/>
        <v>0</v>
      </c>
      <c r="CC53" s="146"/>
      <c r="CD53" s="151">
        <f t="shared" si="36"/>
        <v>5.04</v>
      </c>
      <c r="CE53" s="161" t="s">
        <v>120</v>
      </c>
      <c r="CF53" s="162" t="s">
        <v>120</v>
      </c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ht="12.3">
      <c r="A54" s="128" t="s">
        <v>461</v>
      </c>
      <c r="B54" s="129">
        <v>3250</v>
      </c>
      <c r="C54" s="129">
        <v>62660</v>
      </c>
      <c r="D54" s="129"/>
      <c r="E54" s="129"/>
      <c r="F54" s="130"/>
      <c r="G54" s="131" t="s">
        <v>255</v>
      </c>
      <c r="H54" s="131" t="s">
        <v>120</v>
      </c>
      <c r="I54" s="131" t="s">
        <v>120</v>
      </c>
      <c r="J54" s="131" t="s">
        <v>462</v>
      </c>
      <c r="K54" s="131" t="s">
        <v>156</v>
      </c>
      <c r="L54" s="177">
        <v>6</v>
      </c>
      <c r="M54" s="131" t="str">
        <f>_xlfn.XLOOKUP(L54,[1]Auslegungsgrundlagen!$A$9:$A$100,[1]Auslegungsgrundlagen!$B$9:$B$100)</f>
        <v>Verkehrsflächen, Flure</v>
      </c>
      <c r="N54" s="132">
        <v>67</v>
      </c>
      <c r="O54" s="132">
        <v>202.31</v>
      </c>
      <c r="P54" s="133">
        <v>0</v>
      </c>
      <c r="Q54" s="134"/>
      <c r="R54" s="135">
        <f>_xlfn.XLOOKUP(L54,[1]Auslegungsgrundlagen!$A$9:$A$100,[1]Auslegungsgrundlagen!$M$9:$M$100)</f>
        <v>0</v>
      </c>
      <c r="S54" s="136">
        <f>_xlfn.XLOOKUP(L54,[1]Auslegungsgrundlagen!$A$9:$A$100,[1]Auslegungsgrundlagen!$Q$9:$Q$100)*P54</f>
        <v>0</v>
      </c>
      <c r="T54" s="137">
        <v>0</v>
      </c>
      <c r="U54" s="137">
        <v>0</v>
      </c>
      <c r="V54" s="138">
        <v>0</v>
      </c>
      <c r="W54" s="139">
        <f t="shared" si="21"/>
        <v>0</v>
      </c>
      <c r="X54" s="140" t="s">
        <v>120</v>
      </c>
      <c r="Y54" s="137" t="s">
        <v>120</v>
      </c>
      <c r="Z54" s="141">
        <v>0</v>
      </c>
      <c r="AA54" s="142">
        <f t="shared" si="22"/>
        <v>0</v>
      </c>
      <c r="AB54" s="140" t="s">
        <v>120</v>
      </c>
      <c r="AC54" s="143" t="s">
        <v>120</v>
      </c>
      <c r="AD54" s="144">
        <v>0</v>
      </c>
      <c r="AE54" s="145">
        <f t="shared" si="23"/>
        <v>0</v>
      </c>
      <c r="AF54" s="146"/>
      <c r="AG54" s="140" t="s">
        <v>120</v>
      </c>
      <c r="AH54" s="143" t="s">
        <v>120</v>
      </c>
      <c r="AI54" s="144">
        <v>0</v>
      </c>
      <c r="AJ54" s="145">
        <f t="shared" si="24"/>
        <v>0</v>
      </c>
      <c r="AK54" s="146"/>
      <c r="AL54" s="147">
        <f t="shared" si="25"/>
        <v>0</v>
      </c>
      <c r="AM54" s="140" t="s">
        <v>120</v>
      </c>
      <c r="AN54" s="143" t="s">
        <v>120</v>
      </c>
      <c r="AO54" s="144">
        <v>0</v>
      </c>
      <c r="AP54" s="148">
        <v>0</v>
      </c>
      <c r="AQ54" s="142">
        <f t="shared" si="26"/>
        <v>0</v>
      </c>
      <c r="AR54" s="140" t="s">
        <v>120</v>
      </c>
      <c r="AS54" s="143" t="s">
        <v>120</v>
      </c>
      <c r="AT54" s="144">
        <v>0</v>
      </c>
      <c r="AU54" s="149">
        <v>0</v>
      </c>
      <c r="AV54" s="145">
        <f t="shared" si="27"/>
        <v>0</v>
      </c>
      <c r="AW54" s="146"/>
      <c r="AX54" s="140" t="s">
        <v>120</v>
      </c>
      <c r="AY54" s="143" t="s">
        <v>120</v>
      </c>
      <c r="AZ54" s="144">
        <v>0</v>
      </c>
      <c r="BA54" s="149">
        <v>0</v>
      </c>
      <c r="BB54" s="145">
        <f t="shared" si="28"/>
        <v>0</v>
      </c>
      <c r="BC54" s="150"/>
      <c r="BD54" s="151">
        <f t="shared" si="29"/>
        <v>0</v>
      </c>
      <c r="BE54" s="152">
        <f t="shared" si="30"/>
        <v>0</v>
      </c>
      <c r="BF54" s="140" t="s">
        <v>120</v>
      </c>
      <c r="BG54" s="153" t="s">
        <v>120</v>
      </c>
      <c r="BH54" s="154" t="s">
        <v>120</v>
      </c>
      <c r="BI54" s="155" t="s">
        <v>120</v>
      </c>
      <c r="BJ54" s="156" t="s">
        <v>120</v>
      </c>
      <c r="BK54" s="157"/>
      <c r="BL54" s="158">
        <f>_xlfn.XLOOKUP(L54,[1]Auslegungsgrundlagen!$A$9:$A$100,[1]Auslegungsgrundlagen!$U$9:$U$100)</f>
        <v>0</v>
      </c>
      <c r="BM54" s="137">
        <v>0</v>
      </c>
      <c r="BN54" s="159">
        <v>0</v>
      </c>
      <c r="BO54" s="152">
        <f t="shared" si="31"/>
        <v>0</v>
      </c>
      <c r="BP54" s="140" t="s">
        <v>120</v>
      </c>
      <c r="BQ54" s="143" t="s">
        <v>120</v>
      </c>
      <c r="BR54" s="160">
        <v>0</v>
      </c>
      <c r="BS54" s="142">
        <f t="shared" si="33"/>
        <v>0</v>
      </c>
      <c r="BT54" s="140" t="s">
        <v>120</v>
      </c>
      <c r="BU54" s="143" t="s">
        <v>120</v>
      </c>
      <c r="BV54" s="160">
        <v>0</v>
      </c>
      <c r="BW54" s="145">
        <f t="shared" si="34"/>
        <v>0</v>
      </c>
      <c r="BX54" s="146"/>
      <c r="BY54" s="140" t="s">
        <v>120</v>
      </c>
      <c r="BZ54" s="143" t="s">
        <v>120</v>
      </c>
      <c r="CA54" s="160">
        <v>0</v>
      </c>
      <c r="CB54" s="145">
        <f t="shared" si="35"/>
        <v>0</v>
      </c>
      <c r="CC54" s="146"/>
      <c r="CD54" s="151">
        <f t="shared" si="36"/>
        <v>0</v>
      </c>
      <c r="CE54" s="161" t="s">
        <v>120</v>
      </c>
      <c r="CF54" s="162" t="s">
        <v>120</v>
      </c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ht="12.3">
      <c r="A55" s="128" t="s">
        <v>284</v>
      </c>
      <c r="B55" s="129">
        <v>3250</v>
      </c>
      <c r="C55" s="129">
        <v>12060</v>
      </c>
      <c r="D55" s="129"/>
      <c r="E55" s="129"/>
      <c r="F55" s="130"/>
      <c r="G55" s="131" t="s">
        <v>255</v>
      </c>
      <c r="H55" s="131" t="s">
        <v>120</v>
      </c>
      <c r="I55" s="131" t="s">
        <v>120</v>
      </c>
      <c r="J55" s="131" t="s">
        <v>285</v>
      </c>
      <c r="K55" s="131" t="s">
        <v>230</v>
      </c>
      <c r="L55" s="177">
        <v>2</v>
      </c>
      <c r="M55" s="131" t="str">
        <f>_xlfn.XLOOKUP(L55,[1]Auslegungsgrundlagen!$A$9:$A$100,[1]Auslegungsgrundlagen!$B$9:$B$100)</f>
        <v>Einzel-/Zweierbüros</v>
      </c>
      <c r="N55" s="132">
        <v>8</v>
      </c>
      <c r="O55" s="132">
        <v>24.51</v>
      </c>
      <c r="P55" s="133">
        <v>0</v>
      </c>
      <c r="Q55" s="134"/>
      <c r="R55" s="135">
        <f>_xlfn.XLOOKUP(L55,[1]Auslegungsgrundlagen!$A$9:$A$100,[1]Auslegungsgrundlagen!$M$9:$M$100)</f>
        <v>50</v>
      </c>
      <c r="S55" s="136">
        <f>_xlfn.XLOOKUP(L55,[1]Auslegungsgrundlagen!$A$9:$A$100,[1]Auslegungsgrundlagen!$Q$9:$Q$100)*P55</f>
        <v>0</v>
      </c>
      <c r="T55" s="137">
        <v>0</v>
      </c>
      <c r="U55" s="137">
        <v>0</v>
      </c>
      <c r="V55" s="138">
        <v>0</v>
      </c>
      <c r="W55" s="139">
        <f t="shared" si="21"/>
        <v>0.4</v>
      </c>
      <c r="X55" s="140" t="s">
        <v>481</v>
      </c>
      <c r="Y55" s="137">
        <f t="shared" ref="Y55:Y63" si="40">W55*1000</f>
        <v>400</v>
      </c>
      <c r="Z55" s="141">
        <v>1</v>
      </c>
      <c r="AA55" s="142">
        <f t="shared" si="22"/>
        <v>0.4</v>
      </c>
      <c r="AB55" s="140" t="s">
        <v>120</v>
      </c>
      <c r="AC55" s="143" t="s">
        <v>120</v>
      </c>
      <c r="AD55" s="144">
        <v>0</v>
      </c>
      <c r="AE55" s="145">
        <f t="shared" si="23"/>
        <v>0</v>
      </c>
      <c r="AF55" s="146"/>
      <c r="AG55" s="140" t="s">
        <v>120</v>
      </c>
      <c r="AH55" s="143" t="s">
        <v>120</v>
      </c>
      <c r="AI55" s="144">
        <v>0</v>
      </c>
      <c r="AJ55" s="145">
        <f t="shared" si="24"/>
        <v>0</v>
      </c>
      <c r="AK55" s="146"/>
      <c r="AL55" s="147">
        <f t="shared" si="25"/>
        <v>0.4</v>
      </c>
      <c r="AM55" s="140" t="s">
        <v>120</v>
      </c>
      <c r="AN55" s="143" t="s">
        <v>120</v>
      </c>
      <c r="AO55" s="144">
        <v>0</v>
      </c>
      <c r="AP55" s="148">
        <v>0</v>
      </c>
      <c r="AQ55" s="142">
        <f t="shared" si="26"/>
        <v>0</v>
      </c>
      <c r="AR55" s="140" t="s">
        <v>120</v>
      </c>
      <c r="AS55" s="143" t="s">
        <v>120</v>
      </c>
      <c r="AT55" s="144">
        <v>0</v>
      </c>
      <c r="AU55" s="149">
        <v>0</v>
      </c>
      <c r="AV55" s="145">
        <f t="shared" si="27"/>
        <v>0</v>
      </c>
      <c r="AW55" s="146"/>
      <c r="AX55" s="140" t="s">
        <v>120</v>
      </c>
      <c r="AY55" s="143" t="s">
        <v>120</v>
      </c>
      <c r="AZ55" s="144">
        <v>0</v>
      </c>
      <c r="BA55" s="149">
        <v>0</v>
      </c>
      <c r="BB55" s="145">
        <f t="shared" si="28"/>
        <v>0</v>
      </c>
      <c r="BC55" s="150"/>
      <c r="BD55" s="151">
        <f t="shared" si="29"/>
        <v>0</v>
      </c>
      <c r="BE55" s="152">
        <f t="shared" si="30"/>
        <v>0.4</v>
      </c>
      <c r="BF55" s="140" t="s">
        <v>120</v>
      </c>
      <c r="BG55" s="153" t="s">
        <v>120</v>
      </c>
      <c r="BH55" s="154" t="s">
        <v>120</v>
      </c>
      <c r="BI55" s="155" t="s">
        <v>120</v>
      </c>
      <c r="BJ55" s="156" t="s">
        <v>120</v>
      </c>
      <c r="BK55" s="157"/>
      <c r="BL55" s="158">
        <f>_xlfn.XLOOKUP(L55,[1]Auslegungsgrundlagen!$A$9:$A$100,[1]Auslegungsgrundlagen!$U$9:$U$100)</f>
        <v>40</v>
      </c>
      <c r="BM55" s="137">
        <v>0</v>
      </c>
      <c r="BN55" s="159">
        <v>0</v>
      </c>
      <c r="BO55" s="152">
        <f t="shared" si="31"/>
        <v>0.32</v>
      </c>
      <c r="BP55" s="140" t="s">
        <v>481</v>
      </c>
      <c r="BQ55" s="143">
        <f t="shared" ref="BQ55:BQ63" si="41">BO55*1000</f>
        <v>320</v>
      </c>
      <c r="BR55" s="160">
        <v>1</v>
      </c>
      <c r="BS55" s="142">
        <f t="shared" si="33"/>
        <v>0.32</v>
      </c>
      <c r="BT55" s="140" t="s">
        <v>120</v>
      </c>
      <c r="BU55" s="143" t="s">
        <v>120</v>
      </c>
      <c r="BV55" s="160">
        <v>0</v>
      </c>
      <c r="BW55" s="145">
        <f t="shared" si="34"/>
        <v>0</v>
      </c>
      <c r="BX55" s="146"/>
      <c r="BY55" s="140" t="s">
        <v>120</v>
      </c>
      <c r="BZ55" s="143" t="s">
        <v>120</v>
      </c>
      <c r="CA55" s="160">
        <v>0</v>
      </c>
      <c r="CB55" s="145">
        <f t="shared" si="35"/>
        <v>0</v>
      </c>
      <c r="CC55" s="146"/>
      <c r="CD55" s="151">
        <f t="shared" si="36"/>
        <v>0.32</v>
      </c>
      <c r="CE55" s="161" t="s">
        <v>120</v>
      </c>
      <c r="CF55" s="162" t="s">
        <v>120</v>
      </c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ht="12.3">
      <c r="A56" s="128" t="s">
        <v>276</v>
      </c>
      <c r="B56" s="129">
        <v>3250</v>
      </c>
      <c r="C56" s="129">
        <v>12150</v>
      </c>
      <c r="D56" s="129"/>
      <c r="E56" s="129"/>
      <c r="F56" s="130"/>
      <c r="G56" s="131" t="s">
        <v>255</v>
      </c>
      <c r="H56" s="131" t="s">
        <v>120</v>
      </c>
      <c r="I56" s="131" t="s">
        <v>120</v>
      </c>
      <c r="J56" s="131" t="s">
        <v>277</v>
      </c>
      <c r="K56" s="131" t="s">
        <v>230</v>
      </c>
      <c r="L56" s="177">
        <v>2</v>
      </c>
      <c r="M56" s="131" t="str">
        <f>_xlfn.XLOOKUP(L56,[1]Auslegungsgrundlagen!$A$9:$A$100,[1]Auslegungsgrundlagen!$B$9:$B$100)</f>
        <v>Einzel-/Zweierbüros</v>
      </c>
      <c r="N56" s="132">
        <v>8</v>
      </c>
      <c r="O56" s="132">
        <v>25.04</v>
      </c>
      <c r="P56" s="133">
        <v>0</v>
      </c>
      <c r="Q56" s="134"/>
      <c r="R56" s="135">
        <f>_xlfn.XLOOKUP(L56,[1]Auslegungsgrundlagen!$A$9:$A$100,[1]Auslegungsgrundlagen!$M$9:$M$100)</f>
        <v>50</v>
      </c>
      <c r="S56" s="136">
        <f>_xlfn.XLOOKUP(L56,[1]Auslegungsgrundlagen!$A$9:$A$100,[1]Auslegungsgrundlagen!$Q$9:$Q$100)*P56</f>
        <v>0</v>
      </c>
      <c r="T56" s="137">
        <v>0</v>
      </c>
      <c r="U56" s="137">
        <v>0</v>
      </c>
      <c r="V56" s="138">
        <v>0</v>
      </c>
      <c r="W56" s="139">
        <f t="shared" si="21"/>
        <v>0.4</v>
      </c>
      <c r="X56" s="140" t="s">
        <v>481</v>
      </c>
      <c r="Y56" s="137">
        <f t="shared" si="40"/>
        <v>400</v>
      </c>
      <c r="Z56" s="141">
        <v>1</v>
      </c>
      <c r="AA56" s="142">
        <f t="shared" si="22"/>
        <v>0.4</v>
      </c>
      <c r="AB56" s="140" t="s">
        <v>120</v>
      </c>
      <c r="AC56" s="143" t="s">
        <v>120</v>
      </c>
      <c r="AD56" s="144">
        <v>0</v>
      </c>
      <c r="AE56" s="145">
        <f t="shared" si="23"/>
        <v>0</v>
      </c>
      <c r="AF56" s="146"/>
      <c r="AG56" s="140" t="s">
        <v>120</v>
      </c>
      <c r="AH56" s="143" t="s">
        <v>120</v>
      </c>
      <c r="AI56" s="144">
        <v>0</v>
      </c>
      <c r="AJ56" s="145">
        <f t="shared" si="24"/>
        <v>0</v>
      </c>
      <c r="AK56" s="146"/>
      <c r="AL56" s="147">
        <f t="shared" si="25"/>
        <v>0.4</v>
      </c>
      <c r="AM56" s="140" t="s">
        <v>120</v>
      </c>
      <c r="AN56" s="143" t="s">
        <v>120</v>
      </c>
      <c r="AO56" s="144">
        <v>0</v>
      </c>
      <c r="AP56" s="148">
        <v>0</v>
      </c>
      <c r="AQ56" s="142">
        <f t="shared" si="26"/>
        <v>0</v>
      </c>
      <c r="AR56" s="140" t="s">
        <v>120</v>
      </c>
      <c r="AS56" s="143" t="s">
        <v>120</v>
      </c>
      <c r="AT56" s="144">
        <v>0</v>
      </c>
      <c r="AU56" s="149">
        <v>0</v>
      </c>
      <c r="AV56" s="145">
        <f t="shared" si="27"/>
        <v>0</v>
      </c>
      <c r="AW56" s="146"/>
      <c r="AX56" s="140" t="s">
        <v>120</v>
      </c>
      <c r="AY56" s="143" t="s">
        <v>120</v>
      </c>
      <c r="AZ56" s="144">
        <v>0</v>
      </c>
      <c r="BA56" s="149">
        <v>0</v>
      </c>
      <c r="BB56" s="145">
        <f t="shared" si="28"/>
        <v>0</v>
      </c>
      <c r="BC56" s="150"/>
      <c r="BD56" s="151">
        <f t="shared" si="29"/>
        <v>0</v>
      </c>
      <c r="BE56" s="152">
        <f t="shared" si="30"/>
        <v>0.4</v>
      </c>
      <c r="BF56" s="140" t="s">
        <v>120</v>
      </c>
      <c r="BG56" s="153" t="s">
        <v>120</v>
      </c>
      <c r="BH56" s="154" t="s">
        <v>120</v>
      </c>
      <c r="BI56" s="155" t="s">
        <v>120</v>
      </c>
      <c r="BJ56" s="156" t="s">
        <v>120</v>
      </c>
      <c r="BK56" s="157"/>
      <c r="BL56" s="158">
        <f>_xlfn.XLOOKUP(L56,[1]Auslegungsgrundlagen!$A$9:$A$100,[1]Auslegungsgrundlagen!$U$9:$U$100)</f>
        <v>40</v>
      </c>
      <c r="BM56" s="137">
        <v>0</v>
      </c>
      <c r="BN56" s="159">
        <v>0</v>
      </c>
      <c r="BO56" s="152">
        <f t="shared" si="31"/>
        <v>0.32</v>
      </c>
      <c r="BP56" s="140" t="s">
        <v>481</v>
      </c>
      <c r="BQ56" s="143">
        <f t="shared" si="41"/>
        <v>320</v>
      </c>
      <c r="BR56" s="160">
        <v>1</v>
      </c>
      <c r="BS56" s="142">
        <f t="shared" si="33"/>
        <v>0.32</v>
      </c>
      <c r="BT56" s="140" t="s">
        <v>120</v>
      </c>
      <c r="BU56" s="143" t="s">
        <v>120</v>
      </c>
      <c r="BV56" s="160">
        <v>0</v>
      </c>
      <c r="BW56" s="145">
        <f t="shared" si="34"/>
        <v>0</v>
      </c>
      <c r="BX56" s="146"/>
      <c r="BY56" s="140" t="s">
        <v>120</v>
      </c>
      <c r="BZ56" s="143" t="s">
        <v>120</v>
      </c>
      <c r="CA56" s="160">
        <v>0</v>
      </c>
      <c r="CB56" s="145">
        <f t="shared" si="35"/>
        <v>0</v>
      </c>
      <c r="CC56" s="146"/>
      <c r="CD56" s="151">
        <f t="shared" si="36"/>
        <v>0.32</v>
      </c>
      <c r="CE56" s="161" t="s">
        <v>120</v>
      </c>
      <c r="CF56" s="162" t="s">
        <v>120</v>
      </c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ht="12.3">
      <c r="A57" s="128" t="s">
        <v>278</v>
      </c>
      <c r="B57" s="129">
        <v>3250</v>
      </c>
      <c r="C57" s="129">
        <v>12050</v>
      </c>
      <c r="D57" s="129"/>
      <c r="E57" s="129"/>
      <c r="F57" s="130"/>
      <c r="G57" s="131" t="s">
        <v>255</v>
      </c>
      <c r="H57" s="131" t="s">
        <v>120</v>
      </c>
      <c r="I57" s="131" t="s">
        <v>120</v>
      </c>
      <c r="J57" s="131" t="s">
        <v>279</v>
      </c>
      <c r="K57" s="131" t="s">
        <v>230</v>
      </c>
      <c r="L57" s="177">
        <v>2</v>
      </c>
      <c r="M57" s="131" t="str">
        <f>_xlfn.XLOOKUP(L57,[1]Auslegungsgrundlagen!$A$9:$A$100,[1]Auslegungsgrundlagen!$B$9:$B$100)</f>
        <v>Einzel-/Zweierbüros</v>
      </c>
      <c r="N57" s="132">
        <v>8</v>
      </c>
      <c r="O57" s="132">
        <v>24.73</v>
      </c>
      <c r="P57" s="133">
        <v>0</v>
      </c>
      <c r="Q57" s="134"/>
      <c r="R57" s="135">
        <f>_xlfn.XLOOKUP(L57,[1]Auslegungsgrundlagen!$A$9:$A$100,[1]Auslegungsgrundlagen!$M$9:$M$100)</f>
        <v>50</v>
      </c>
      <c r="S57" s="136">
        <f>_xlfn.XLOOKUP(L57,[1]Auslegungsgrundlagen!$A$9:$A$100,[1]Auslegungsgrundlagen!$Q$9:$Q$100)*P57</f>
        <v>0</v>
      </c>
      <c r="T57" s="137">
        <v>0</v>
      </c>
      <c r="U57" s="137">
        <v>0</v>
      </c>
      <c r="V57" s="138">
        <v>0</v>
      </c>
      <c r="W57" s="139">
        <f t="shared" si="21"/>
        <v>0.4</v>
      </c>
      <c r="X57" s="140" t="s">
        <v>481</v>
      </c>
      <c r="Y57" s="137">
        <f t="shared" si="40"/>
        <v>400</v>
      </c>
      <c r="Z57" s="141">
        <v>1</v>
      </c>
      <c r="AA57" s="142">
        <f t="shared" si="22"/>
        <v>0.4</v>
      </c>
      <c r="AB57" s="140" t="s">
        <v>120</v>
      </c>
      <c r="AC57" s="143" t="s">
        <v>120</v>
      </c>
      <c r="AD57" s="144">
        <v>0</v>
      </c>
      <c r="AE57" s="145">
        <f t="shared" si="23"/>
        <v>0</v>
      </c>
      <c r="AF57" s="146"/>
      <c r="AG57" s="140" t="s">
        <v>120</v>
      </c>
      <c r="AH57" s="143" t="s">
        <v>120</v>
      </c>
      <c r="AI57" s="144">
        <v>0</v>
      </c>
      <c r="AJ57" s="145">
        <f t="shared" si="24"/>
        <v>0</v>
      </c>
      <c r="AK57" s="146"/>
      <c r="AL57" s="147">
        <f t="shared" si="25"/>
        <v>0.4</v>
      </c>
      <c r="AM57" s="140" t="s">
        <v>120</v>
      </c>
      <c r="AN57" s="143" t="s">
        <v>120</v>
      </c>
      <c r="AO57" s="144">
        <v>0</v>
      </c>
      <c r="AP57" s="148">
        <v>0</v>
      </c>
      <c r="AQ57" s="142">
        <f t="shared" si="26"/>
        <v>0</v>
      </c>
      <c r="AR57" s="140" t="s">
        <v>120</v>
      </c>
      <c r="AS57" s="143" t="s">
        <v>120</v>
      </c>
      <c r="AT57" s="144">
        <v>0</v>
      </c>
      <c r="AU57" s="149">
        <v>0</v>
      </c>
      <c r="AV57" s="145">
        <f t="shared" si="27"/>
        <v>0</v>
      </c>
      <c r="AW57" s="146"/>
      <c r="AX57" s="140" t="s">
        <v>120</v>
      </c>
      <c r="AY57" s="143" t="s">
        <v>120</v>
      </c>
      <c r="AZ57" s="144">
        <v>0</v>
      </c>
      <c r="BA57" s="149">
        <v>0</v>
      </c>
      <c r="BB57" s="145">
        <f t="shared" si="28"/>
        <v>0</v>
      </c>
      <c r="BC57" s="150"/>
      <c r="BD57" s="151">
        <f t="shared" si="29"/>
        <v>0</v>
      </c>
      <c r="BE57" s="152">
        <f t="shared" si="30"/>
        <v>0.4</v>
      </c>
      <c r="BF57" s="140" t="s">
        <v>120</v>
      </c>
      <c r="BG57" s="153" t="s">
        <v>120</v>
      </c>
      <c r="BH57" s="154" t="s">
        <v>120</v>
      </c>
      <c r="BI57" s="155" t="s">
        <v>120</v>
      </c>
      <c r="BJ57" s="156" t="s">
        <v>120</v>
      </c>
      <c r="BK57" s="157"/>
      <c r="BL57" s="158">
        <f>_xlfn.XLOOKUP(L57,[1]Auslegungsgrundlagen!$A$9:$A$100,[1]Auslegungsgrundlagen!$U$9:$U$100)</f>
        <v>40</v>
      </c>
      <c r="BM57" s="137">
        <v>0</v>
      </c>
      <c r="BN57" s="159">
        <v>0</v>
      </c>
      <c r="BO57" s="152">
        <f t="shared" si="31"/>
        <v>0.32</v>
      </c>
      <c r="BP57" s="140" t="s">
        <v>481</v>
      </c>
      <c r="BQ57" s="143">
        <f t="shared" si="41"/>
        <v>320</v>
      </c>
      <c r="BR57" s="160">
        <v>1</v>
      </c>
      <c r="BS57" s="142">
        <f t="shared" si="33"/>
        <v>0.32</v>
      </c>
      <c r="BT57" s="140" t="s">
        <v>120</v>
      </c>
      <c r="BU57" s="143" t="s">
        <v>120</v>
      </c>
      <c r="BV57" s="160">
        <v>0</v>
      </c>
      <c r="BW57" s="145">
        <f t="shared" si="34"/>
        <v>0</v>
      </c>
      <c r="BX57" s="146"/>
      <c r="BY57" s="140" t="s">
        <v>120</v>
      </c>
      <c r="BZ57" s="143" t="s">
        <v>120</v>
      </c>
      <c r="CA57" s="160">
        <v>0</v>
      </c>
      <c r="CB57" s="145">
        <f t="shared" si="35"/>
        <v>0</v>
      </c>
      <c r="CC57" s="146"/>
      <c r="CD57" s="151">
        <f t="shared" si="36"/>
        <v>0.32</v>
      </c>
      <c r="CE57" s="161" t="s">
        <v>120</v>
      </c>
      <c r="CF57" s="162" t="s">
        <v>120</v>
      </c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ht="12.3">
      <c r="A58" s="128" t="s">
        <v>274</v>
      </c>
      <c r="B58" s="129">
        <v>3250</v>
      </c>
      <c r="C58" s="129">
        <v>12150</v>
      </c>
      <c r="D58" s="129"/>
      <c r="E58" s="129"/>
      <c r="F58" s="130"/>
      <c r="G58" s="131" t="s">
        <v>255</v>
      </c>
      <c r="H58" s="131" t="s">
        <v>120</v>
      </c>
      <c r="I58" s="131" t="s">
        <v>120</v>
      </c>
      <c r="J58" s="131" t="s">
        <v>275</v>
      </c>
      <c r="K58" s="131" t="s">
        <v>230</v>
      </c>
      <c r="L58" s="177">
        <v>2</v>
      </c>
      <c r="M58" s="131" t="str">
        <f>_xlfn.XLOOKUP(L58,[1]Auslegungsgrundlagen!$A$9:$A$100,[1]Auslegungsgrundlagen!$B$9:$B$100)</f>
        <v>Einzel-/Zweierbüros</v>
      </c>
      <c r="N58" s="132">
        <v>8</v>
      </c>
      <c r="O58" s="132">
        <v>25.04</v>
      </c>
      <c r="P58" s="133">
        <v>0</v>
      </c>
      <c r="Q58" s="134"/>
      <c r="R58" s="135">
        <f>_xlfn.XLOOKUP(L58,[1]Auslegungsgrundlagen!$A$9:$A$100,[1]Auslegungsgrundlagen!$M$9:$M$100)</f>
        <v>50</v>
      </c>
      <c r="S58" s="136">
        <f>_xlfn.XLOOKUP(L58,[1]Auslegungsgrundlagen!$A$9:$A$100,[1]Auslegungsgrundlagen!$Q$9:$Q$100)*P58</f>
        <v>0</v>
      </c>
      <c r="T58" s="137">
        <v>0</v>
      </c>
      <c r="U58" s="137">
        <v>0</v>
      </c>
      <c r="V58" s="138">
        <v>0</v>
      </c>
      <c r="W58" s="139">
        <f t="shared" si="21"/>
        <v>0.4</v>
      </c>
      <c r="X58" s="140" t="s">
        <v>481</v>
      </c>
      <c r="Y58" s="137">
        <f t="shared" si="40"/>
        <v>400</v>
      </c>
      <c r="Z58" s="141">
        <v>1</v>
      </c>
      <c r="AA58" s="142">
        <f t="shared" si="22"/>
        <v>0.4</v>
      </c>
      <c r="AB58" s="140" t="s">
        <v>120</v>
      </c>
      <c r="AC58" s="143" t="s">
        <v>120</v>
      </c>
      <c r="AD58" s="144">
        <v>0</v>
      </c>
      <c r="AE58" s="145">
        <f t="shared" si="23"/>
        <v>0</v>
      </c>
      <c r="AF58" s="146"/>
      <c r="AG58" s="140" t="s">
        <v>120</v>
      </c>
      <c r="AH58" s="143" t="s">
        <v>120</v>
      </c>
      <c r="AI58" s="144">
        <v>0</v>
      </c>
      <c r="AJ58" s="145">
        <f t="shared" si="24"/>
        <v>0</v>
      </c>
      <c r="AK58" s="146"/>
      <c r="AL58" s="147">
        <f t="shared" si="25"/>
        <v>0.4</v>
      </c>
      <c r="AM58" s="140" t="s">
        <v>120</v>
      </c>
      <c r="AN58" s="143" t="s">
        <v>120</v>
      </c>
      <c r="AO58" s="144">
        <v>0</v>
      </c>
      <c r="AP58" s="148">
        <v>0</v>
      </c>
      <c r="AQ58" s="142">
        <f t="shared" si="26"/>
        <v>0</v>
      </c>
      <c r="AR58" s="140" t="s">
        <v>120</v>
      </c>
      <c r="AS58" s="143" t="s">
        <v>120</v>
      </c>
      <c r="AT58" s="144">
        <v>0</v>
      </c>
      <c r="AU58" s="149">
        <v>0</v>
      </c>
      <c r="AV58" s="145">
        <f t="shared" si="27"/>
        <v>0</v>
      </c>
      <c r="AW58" s="146"/>
      <c r="AX58" s="140" t="s">
        <v>120</v>
      </c>
      <c r="AY58" s="143" t="s">
        <v>120</v>
      </c>
      <c r="AZ58" s="144">
        <v>0</v>
      </c>
      <c r="BA58" s="149">
        <v>0</v>
      </c>
      <c r="BB58" s="145">
        <f t="shared" si="28"/>
        <v>0</v>
      </c>
      <c r="BC58" s="150"/>
      <c r="BD58" s="151">
        <f t="shared" si="29"/>
        <v>0</v>
      </c>
      <c r="BE58" s="152">
        <f t="shared" si="30"/>
        <v>0.4</v>
      </c>
      <c r="BF58" s="140" t="s">
        <v>120</v>
      </c>
      <c r="BG58" s="153" t="s">
        <v>120</v>
      </c>
      <c r="BH58" s="154" t="s">
        <v>120</v>
      </c>
      <c r="BI58" s="155" t="s">
        <v>120</v>
      </c>
      <c r="BJ58" s="156" t="s">
        <v>120</v>
      </c>
      <c r="BK58" s="157"/>
      <c r="BL58" s="158">
        <f>_xlfn.XLOOKUP(L58,[1]Auslegungsgrundlagen!$A$9:$A$100,[1]Auslegungsgrundlagen!$U$9:$U$100)</f>
        <v>40</v>
      </c>
      <c r="BM58" s="137">
        <v>0</v>
      </c>
      <c r="BN58" s="159">
        <v>0</v>
      </c>
      <c r="BO58" s="152">
        <f t="shared" si="31"/>
        <v>0.32</v>
      </c>
      <c r="BP58" s="140" t="s">
        <v>481</v>
      </c>
      <c r="BQ58" s="143">
        <f t="shared" si="41"/>
        <v>320</v>
      </c>
      <c r="BR58" s="160">
        <v>1</v>
      </c>
      <c r="BS58" s="142">
        <f t="shared" si="33"/>
        <v>0.32</v>
      </c>
      <c r="BT58" s="140" t="s">
        <v>120</v>
      </c>
      <c r="BU58" s="143" t="s">
        <v>120</v>
      </c>
      <c r="BV58" s="160">
        <v>0</v>
      </c>
      <c r="BW58" s="145">
        <f t="shared" si="34"/>
        <v>0</v>
      </c>
      <c r="BX58" s="146"/>
      <c r="BY58" s="140" t="s">
        <v>120</v>
      </c>
      <c r="BZ58" s="143" t="s">
        <v>120</v>
      </c>
      <c r="CA58" s="160">
        <v>0</v>
      </c>
      <c r="CB58" s="145">
        <f t="shared" si="35"/>
        <v>0</v>
      </c>
      <c r="CC58" s="146"/>
      <c r="CD58" s="151">
        <f t="shared" si="36"/>
        <v>0.32</v>
      </c>
      <c r="CE58" s="161" t="s">
        <v>120</v>
      </c>
      <c r="CF58" s="162" t="s">
        <v>120</v>
      </c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ht="12.3">
      <c r="A59" s="128" t="s">
        <v>280</v>
      </c>
      <c r="B59" s="129">
        <v>3250</v>
      </c>
      <c r="C59" s="129">
        <v>12050</v>
      </c>
      <c r="D59" s="129"/>
      <c r="E59" s="129"/>
      <c r="F59" s="130"/>
      <c r="G59" s="131" t="s">
        <v>255</v>
      </c>
      <c r="H59" s="131" t="s">
        <v>120</v>
      </c>
      <c r="I59" s="131" t="s">
        <v>120</v>
      </c>
      <c r="J59" s="131" t="s">
        <v>281</v>
      </c>
      <c r="K59" s="131" t="s">
        <v>230</v>
      </c>
      <c r="L59" s="177">
        <v>2</v>
      </c>
      <c r="M59" s="131" t="str">
        <f>_xlfn.XLOOKUP(L59,[1]Auslegungsgrundlagen!$A$9:$A$100,[1]Auslegungsgrundlagen!$B$9:$B$100)</f>
        <v>Einzel-/Zweierbüros</v>
      </c>
      <c r="N59" s="132">
        <v>8</v>
      </c>
      <c r="O59" s="132">
        <v>24.73</v>
      </c>
      <c r="P59" s="133">
        <v>0</v>
      </c>
      <c r="Q59" s="134"/>
      <c r="R59" s="135">
        <f>_xlfn.XLOOKUP(L59,[1]Auslegungsgrundlagen!$A$9:$A$100,[1]Auslegungsgrundlagen!$M$9:$M$100)</f>
        <v>50</v>
      </c>
      <c r="S59" s="136">
        <f>_xlfn.XLOOKUP(L59,[1]Auslegungsgrundlagen!$A$9:$A$100,[1]Auslegungsgrundlagen!$Q$9:$Q$100)*P59</f>
        <v>0</v>
      </c>
      <c r="T59" s="137">
        <v>0</v>
      </c>
      <c r="U59" s="137">
        <v>0</v>
      </c>
      <c r="V59" s="138">
        <v>0</v>
      </c>
      <c r="W59" s="139">
        <f t="shared" si="21"/>
        <v>0.4</v>
      </c>
      <c r="X59" s="140" t="s">
        <v>481</v>
      </c>
      <c r="Y59" s="137">
        <f t="shared" si="40"/>
        <v>400</v>
      </c>
      <c r="Z59" s="141">
        <v>1</v>
      </c>
      <c r="AA59" s="142">
        <f t="shared" si="22"/>
        <v>0.4</v>
      </c>
      <c r="AB59" s="140" t="s">
        <v>120</v>
      </c>
      <c r="AC59" s="143" t="s">
        <v>120</v>
      </c>
      <c r="AD59" s="144">
        <v>0</v>
      </c>
      <c r="AE59" s="145">
        <f t="shared" si="23"/>
        <v>0</v>
      </c>
      <c r="AF59" s="146"/>
      <c r="AG59" s="140" t="s">
        <v>120</v>
      </c>
      <c r="AH59" s="143" t="s">
        <v>120</v>
      </c>
      <c r="AI59" s="144">
        <v>0</v>
      </c>
      <c r="AJ59" s="145">
        <f t="shared" si="24"/>
        <v>0</v>
      </c>
      <c r="AK59" s="146"/>
      <c r="AL59" s="147">
        <f t="shared" si="25"/>
        <v>0.4</v>
      </c>
      <c r="AM59" s="140" t="s">
        <v>120</v>
      </c>
      <c r="AN59" s="143" t="s">
        <v>120</v>
      </c>
      <c r="AO59" s="144">
        <v>0</v>
      </c>
      <c r="AP59" s="148">
        <v>0</v>
      </c>
      <c r="AQ59" s="142">
        <f t="shared" si="26"/>
        <v>0</v>
      </c>
      <c r="AR59" s="140" t="s">
        <v>120</v>
      </c>
      <c r="AS59" s="143" t="s">
        <v>120</v>
      </c>
      <c r="AT59" s="144">
        <v>0</v>
      </c>
      <c r="AU59" s="149">
        <v>0</v>
      </c>
      <c r="AV59" s="145">
        <f t="shared" si="27"/>
        <v>0</v>
      </c>
      <c r="AW59" s="146"/>
      <c r="AX59" s="140" t="s">
        <v>120</v>
      </c>
      <c r="AY59" s="143" t="s">
        <v>120</v>
      </c>
      <c r="AZ59" s="144">
        <v>0</v>
      </c>
      <c r="BA59" s="149">
        <v>0</v>
      </c>
      <c r="BB59" s="145">
        <f t="shared" si="28"/>
        <v>0</v>
      </c>
      <c r="BC59" s="150"/>
      <c r="BD59" s="151">
        <f t="shared" si="29"/>
        <v>0</v>
      </c>
      <c r="BE59" s="152">
        <f t="shared" si="30"/>
        <v>0.4</v>
      </c>
      <c r="BF59" s="140" t="s">
        <v>120</v>
      </c>
      <c r="BG59" s="153" t="s">
        <v>120</v>
      </c>
      <c r="BH59" s="154" t="s">
        <v>120</v>
      </c>
      <c r="BI59" s="155" t="s">
        <v>120</v>
      </c>
      <c r="BJ59" s="156" t="s">
        <v>120</v>
      </c>
      <c r="BK59" s="157"/>
      <c r="BL59" s="158">
        <f>_xlfn.XLOOKUP(L59,[1]Auslegungsgrundlagen!$A$9:$A$100,[1]Auslegungsgrundlagen!$U$9:$U$100)</f>
        <v>40</v>
      </c>
      <c r="BM59" s="137">
        <v>0</v>
      </c>
      <c r="BN59" s="159">
        <v>0</v>
      </c>
      <c r="BO59" s="152">
        <f t="shared" si="31"/>
        <v>0.32</v>
      </c>
      <c r="BP59" s="140" t="s">
        <v>481</v>
      </c>
      <c r="BQ59" s="143">
        <f t="shared" si="41"/>
        <v>320</v>
      </c>
      <c r="BR59" s="160">
        <v>1</v>
      </c>
      <c r="BS59" s="142">
        <f t="shared" si="33"/>
        <v>0.32</v>
      </c>
      <c r="BT59" s="140" t="s">
        <v>120</v>
      </c>
      <c r="BU59" s="143" t="s">
        <v>120</v>
      </c>
      <c r="BV59" s="160">
        <v>0</v>
      </c>
      <c r="BW59" s="145">
        <f t="shared" si="34"/>
        <v>0</v>
      </c>
      <c r="BX59" s="146"/>
      <c r="BY59" s="140" t="s">
        <v>120</v>
      </c>
      <c r="BZ59" s="143" t="s">
        <v>120</v>
      </c>
      <c r="CA59" s="160">
        <v>0</v>
      </c>
      <c r="CB59" s="145">
        <f t="shared" si="35"/>
        <v>0</v>
      </c>
      <c r="CC59" s="146"/>
      <c r="CD59" s="151">
        <f t="shared" si="36"/>
        <v>0.32</v>
      </c>
      <c r="CE59" s="161" t="s">
        <v>120</v>
      </c>
      <c r="CF59" s="162" t="s">
        <v>120</v>
      </c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ht="12.3">
      <c r="A60" s="128" t="s">
        <v>271</v>
      </c>
      <c r="B60" s="129">
        <v>3250</v>
      </c>
      <c r="C60" s="129">
        <v>16650</v>
      </c>
      <c r="D60" s="129"/>
      <c r="E60" s="129"/>
      <c r="F60" s="130"/>
      <c r="G60" s="131" t="s">
        <v>255</v>
      </c>
      <c r="H60" s="131" t="s">
        <v>120</v>
      </c>
      <c r="I60" s="131" t="s">
        <v>120</v>
      </c>
      <c r="J60" s="131" t="s">
        <v>272</v>
      </c>
      <c r="K60" s="131" t="s">
        <v>273</v>
      </c>
      <c r="L60" s="177">
        <v>2</v>
      </c>
      <c r="M60" s="131" t="str">
        <f>_xlfn.XLOOKUP(L60,[1]Auslegungsgrundlagen!$A$9:$A$100,[1]Auslegungsgrundlagen!$B$9:$B$100)</f>
        <v>Einzel-/Zweierbüros</v>
      </c>
      <c r="N60" s="132">
        <v>17</v>
      </c>
      <c r="O60" s="132">
        <v>51.87</v>
      </c>
      <c r="P60" s="133">
        <v>0</v>
      </c>
      <c r="Q60" s="134"/>
      <c r="R60" s="135">
        <f>_xlfn.XLOOKUP(L60,[1]Auslegungsgrundlagen!$A$9:$A$100,[1]Auslegungsgrundlagen!$M$9:$M$100)</f>
        <v>50</v>
      </c>
      <c r="S60" s="136">
        <f>_xlfn.XLOOKUP(L60,[1]Auslegungsgrundlagen!$A$9:$A$100,[1]Auslegungsgrundlagen!$Q$9:$Q$100)*P60</f>
        <v>0</v>
      </c>
      <c r="T60" s="137">
        <v>0</v>
      </c>
      <c r="U60" s="137">
        <v>0</v>
      </c>
      <c r="V60" s="138">
        <v>0</v>
      </c>
      <c r="W60" s="139">
        <f t="shared" si="21"/>
        <v>0.85</v>
      </c>
      <c r="X60" s="140" t="s">
        <v>481</v>
      </c>
      <c r="Y60" s="137">
        <f t="shared" si="40"/>
        <v>850</v>
      </c>
      <c r="Z60" s="141">
        <v>1</v>
      </c>
      <c r="AA60" s="142">
        <f t="shared" si="22"/>
        <v>0.85</v>
      </c>
      <c r="AB60" s="140" t="s">
        <v>120</v>
      </c>
      <c r="AC60" s="143" t="s">
        <v>120</v>
      </c>
      <c r="AD60" s="144">
        <v>0</v>
      </c>
      <c r="AE60" s="145">
        <f t="shared" si="23"/>
        <v>0</v>
      </c>
      <c r="AF60" s="146"/>
      <c r="AG60" s="140" t="s">
        <v>120</v>
      </c>
      <c r="AH60" s="143" t="s">
        <v>120</v>
      </c>
      <c r="AI60" s="144">
        <v>0</v>
      </c>
      <c r="AJ60" s="145">
        <f t="shared" si="24"/>
        <v>0</v>
      </c>
      <c r="AK60" s="146"/>
      <c r="AL60" s="147">
        <f t="shared" si="25"/>
        <v>0.85</v>
      </c>
      <c r="AM60" s="140" t="s">
        <v>120</v>
      </c>
      <c r="AN60" s="143" t="s">
        <v>120</v>
      </c>
      <c r="AO60" s="144">
        <v>0</v>
      </c>
      <c r="AP60" s="148">
        <v>0</v>
      </c>
      <c r="AQ60" s="142">
        <f t="shared" si="26"/>
        <v>0</v>
      </c>
      <c r="AR60" s="140" t="s">
        <v>120</v>
      </c>
      <c r="AS60" s="143" t="s">
        <v>120</v>
      </c>
      <c r="AT60" s="144">
        <v>0</v>
      </c>
      <c r="AU60" s="149">
        <v>0</v>
      </c>
      <c r="AV60" s="145">
        <f t="shared" si="27"/>
        <v>0</v>
      </c>
      <c r="AW60" s="146"/>
      <c r="AX60" s="140" t="s">
        <v>120</v>
      </c>
      <c r="AY60" s="143" t="s">
        <v>120</v>
      </c>
      <c r="AZ60" s="144">
        <v>0</v>
      </c>
      <c r="BA60" s="149">
        <v>0</v>
      </c>
      <c r="BB60" s="145">
        <f t="shared" si="28"/>
        <v>0</v>
      </c>
      <c r="BC60" s="150"/>
      <c r="BD60" s="151">
        <f t="shared" si="29"/>
        <v>0</v>
      </c>
      <c r="BE60" s="152">
        <f t="shared" si="30"/>
        <v>0.85</v>
      </c>
      <c r="BF60" s="140" t="s">
        <v>120</v>
      </c>
      <c r="BG60" s="153" t="s">
        <v>120</v>
      </c>
      <c r="BH60" s="154" t="s">
        <v>120</v>
      </c>
      <c r="BI60" s="155" t="s">
        <v>120</v>
      </c>
      <c r="BJ60" s="156" t="s">
        <v>120</v>
      </c>
      <c r="BK60" s="157"/>
      <c r="BL60" s="158">
        <f>_xlfn.XLOOKUP(L60,[1]Auslegungsgrundlagen!$A$9:$A$100,[1]Auslegungsgrundlagen!$U$9:$U$100)</f>
        <v>40</v>
      </c>
      <c r="BM60" s="137">
        <v>0</v>
      </c>
      <c r="BN60" s="159">
        <v>0</v>
      </c>
      <c r="BO60" s="152">
        <f t="shared" si="31"/>
        <v>0.68</v>
      </c>
      <c r="BP60" s="140" t="s">
        <v>481</v>
      </c>
      <c r="BQ60" s="143">
        <f t="shared" si="41"/>
        <v>680</v>
      </c>
      <c r="BR60" s="160">
        <v>1</v>
      </c>
      <c r="BS60" s="142">
        <f t="shared" si="33"/>
        <v>0.68</v>
      </c>
      <c r="BT60" s="140" t="s">
        <v>120</v>
      </c>
      <c r="BU60" s="143" t="s">
        <v>120</v>
      </c>
      <c r="BV60" s="160">
        <v>0</v>
      </c>
      <c r="BW60" s="145">
        <f t="shared" si="34"/>
        <v>0</v>
      </c>
      <c r="BX60" s="146"/>
      <c r="BY60" s="140" t="s">
        <v>120</v>
      </c>
      <c r="BZ60" s="143" t="s">
        <v>120</v>
      </c>
      <c r="CA60" s="160">
        <v>0</v>
      </c>
      <c r="CB60" s="145">
        <f t="shared" si="35"/>
        <v>0</v>
      </c>
      <c r="CC60" s="146"/>
      <c r="CD60" s="151">
        <f t="shared" si="36"/>
        <v>0.68</v>
      </c>
      <c r="CE60" s="161" t="s">
        <v>120</v>
      </c>
      <c r="CF60" s="162" t="s">
        <v>120</v>
      </c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ht="12.3">
      <c r="A61" s="128" t="s">
        <v>282</v>
      </c>
      <c r="B61" s="129">
        <v>3250</v>
      </c>
      <c r="C61" s="129">
        <v>16550</v>
      </c>
      <c r="D61" s="129"/>
      <c r="E61" s="129"/>
      <c r="F61" s="130"/>
      <c r="G61" s="131" t="s">
        <v>255</v>
      </c>
      <c r="H61" s="131" t="s">
        <v>120</v>
      </c>
      <c r="I61" s="131" t="s">
        <v>120</v>
      </c>
      <c r="J61" s="131" t="s">
        <v>283</v>
      </c>
      <c r="K61" s="131" t="s">
        <v>194</v>
      </c>
      <c r="L61" s="177">
        <v>2</v>
      </c>
      <c r="M61" s="131" t="str">
        <f>_xlfn.XLOOKUP(L61,[1]Auslegungsgrundlagen!$A$9:$A$100,[1]Auslegungsgrundlagen!$B$9:$B$100)</f>
        <v>Einzel-/Zweierbüros</v>
      </c>
      <c r="N61" s="132">
        <v>17</v>
      </c>
      <c r="O61" s="132">
        <v>51.22</v>
      </c>
      <c r="P61" s="133">
        <v>0</v>
      </c>
      <c r="Q61" s="134"/>
      <c r="R61" s="135">
        <f>_xlfn.XLOOKUP(L61,[1]Auslegungsgrundlagen!$A$9:$A$100,[1]Auslegungsgrundlagen!$M$9:$M$100)</f>
        <v>50</v>
      </c>
      <c r="S61" s="136">
        <f>_xlfn.XLOOKUP(L61,[1]Auslegungsgrundlagen!$A$9:$A$100,[1]Auslegungsgrundlagen!$Q$9:$Q$100)*P61</f>
        <v>0</v>
      </c>
      <c r="T61" s="137">
        <v>0</v>
      </c>
      <c r="U61" s="137">
        <v>0</v>
      </c>
      <c r="V61" s="138">
        <v>0</v>
      </c>
      <c r="W61" s="139">
        <f t="shared" si="21"/>
        <v>0.85</v>
      </c>
      <c r="X61" s="140" t="s">
        <v>481</v>
      </c>
      <c r="Y61" s="137">
        <f t="shared" si="40"/>
        <v>850</v>
      </c>
      <c r="Z61" s="141">
        <v>1</v>
      </c>
      <c r="AA61" s="142">
        <f t="shared" si="22"/>
        <v>0.85</v>
      </c>
      <c r="AB61" s="140" t="s">
        <v>120</v>
      </c>
      <c r="AC61" s="143" t="s">
        <v>120</v>
      </c>
      <c r="AD61" s="144">
        <v>0</v>
      </c>
      <c r="AE61" s="145">
        <f t="shared" si="23"/>
        <v>0</v>
      </c>
      <c r="AF61" s="146"/>
      <c r="AG61" s="140" t="s">
        <v>120</v>
      </c>
      <c r="AH61" s="143" t="s">
        <v>120</v>
      </c>
      <c r="AI61" s="144">
        <v>0</v>
      </c>
      <c r="AJ61" s="145">
        <f t="shared" si="24"/>
        <v>0</v>
      </c>
      <c r="AK61" s="146"/>
      <c r="AL61" s="147">
        <f t="shared" si="25"/>
        <v>0.85</v>
      </c>
      <c r="AM61" s="140" t="s">
        <v>120</v>
      </c>
      <c r="AN61" s="143" t="s">
        <v>120</v>
      </c>
      <c r="AO61" s="144">
        <v>0</v>
      </c>
      <c r="AP61" s="148">
        <v>0</v>
      </c>
      <c r="AQ61" s="142">
        <f t="shared" si="26"/>
        <v>0</v>
      </c>
      <c r="AR61" s="140" t="s">
        <v>120</v>
      </c>
      <c r="AS61" s="143" t="s">
        <v>120</v>
      </c>
      <c r="AT61" s="144">
        <v>0</v>
      </c>
      <c r="AU61" s="149">
        <v>0</v>
      </c>
      <c r="AV61" s="145">
        <f t="shared" si="27"/>
        <v>0</v>
      </c>
      <c r="AW61" s="146"/>
      <c r="AX61" s="140" t="s">
        <v>120</v>
      </c>
      <c r="AY61" s="143" t="s">
        <v>120</v>
      </c>
      <c r="AZ61" s="144">
        <v>0</v>
      </c>
      <c r="BA61" s="149">
        <v>0</v>
      </c>
      <c r="BB61" s="145">
        <f t="shared" si="28"/>
        <v>0</v>
      </c>
      <c r="BC61" s="150"/>
      <c r="BD61" s="151">
        <f t="shared" si="29"/>
        <v>0</v>
      </c>
      <c r="BE61" s="152">
        <f t="shared" si="30"/>
        <v>0.85</v>
      </c>
      <c r="BF61" s="140" t="s">
        <v>120</v>
      </c>
      <c r="BG61" s="153" t="s">
        <v>120</v>
      </c>
      <c r="BH61" s="154" t="s">
        <v>120</v>
      </c>
      <c r="BI61" s="155" t="s">
        <v>120</v>
      </c>
      <c r="BJ61" s="156" t="s">
        <v>120</v>
      </c>
      <c r="BK61" s="157"/>
      <c r="BL61" s="158">
        <f>_xlfn.XLOOKUP(L61,[1]Auslegungsgrundlagen!$A$9:$A$100,[1]Auslegungsgrundlagen!$U$9:$U$100)</f>
        <v>40</v>
      </c>
      <c r="BM61" s="137">
        <v>0</v>
      </c>
      <c r="BN61" s="159">
        <v>0</v>
      </c>
      <c r="BO61" s="152">
        <f t="shared" si="31"/>
        <v>0.68</v>
      </c>
      <c r="BP61" s="140" t="s">
        <v>481</v>
      </c>
      <c r="BQ61" s="143">
        <f t="shared" si="41"/>
        <v>680</v>
      </c>
      <c r="BR61" s="160">
        <v>1</v>
      </c>
      <c r="BS61" s="142">
        <f t="shared" si="33"/>
        <v>0.68</v>
      </c>
      <c r="BT61" s="140" t="s">
        <v>120</v>
      </c>
      <c r="BU61" s="143" t="s">
        <v>120</v>
      </c>
      <c r="BV61" s="160">
        <v>0</v>
      </c>
      <c r="BW61" s="145">
        <f t="shared" si="34"/>
        <v>0</v>
      </c>
      <c r="BX61" s="146"/>
      <c r="BY61" s="140" t="s">
        <v>120</v>
      </c>
      <c r="BZ61" s="143" t="s">
        <v>120</v>
      </c>
      <c r="CA61" s="160">
        <v>0</v>
      </c>
      <c r="CB61" s="145">
        <f t="shared" si="35"/>
        <v>0</v>
      </c>
      <c r="CC61" s="146"/>
      <c r="CD61" s="151">
        <f t="shared" si="36"/>
        <v>0.68</v>
      </c>
      <c r="CE61" s="161" t="s">
        <v>120</v>
      </c>
      <c r="CF61" s="162" t="s">
        <v>120</v>
      </c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ht="12.3">
      <c r="A62" s="128" t="s">
        <v>267</v>
      </c>
      <c r="B62" s="129">
        <v>3250</v>
      </c>
      <c r="C62" s="129">
        <v>12150</v>
      </c>
      <c r="D62" s="129"/>
      <c r="E62" s="129"/>
      <c r="F62" s="130"/>
      <c r="G62" s="131" t="s">
        <v>255</v>
      </c>
      <c r="H62" s="131" t="s">
        <v>120</v>
      </c>
      <c r="I62" s="131" t="s">
        <v>120</v>
      </c>
      <c r="J62" s="131" t="s">
        <v>268</v>
      </c>
      <c r="K62" s="131" t="s">
        <v>230</v>
      </c>
      <c r="L62" s="177">
        <v>2</v>
      </c>
      <c r="M62" s="131" t="str">
        <f>_xlfn.XLOOKUP(L62,[1]Auslegungsgrundlagen!$A$9:$A$100,[1]Auslegungsgrundlagen!$B$9:$B$100)</f>
        <v>Einzel-/Zweierbüros</v>
      </c>
      <c r="N62" s="132">
        <v>8</v>
      </c>
      <c r="O62" s="132">
        <v>25.04</v>
      </c>
      <c r="P62" s="133">
        <v>0</v>
      </c>
      <c r="Q62" s="134"/>
      <c r="R62" s="135">
        <f>_xlfn.XLOOKUP(L62,[1]Auslegungsgrundlagen!$A$9:$A$100,[1]Auslegungsgrundlagen!$M$9:$M$100)</f>
        <v>50</v>
      </c>
      <c r="S62" s="136">
        <f>_xlfn.XLOOKUP(L62,[1]Auslegungsgrundlagen!$A$9:$A$100,[1]Auslegungsgrundlagen!$Q$9:$Q$100)*P62</f>
        <v>0</v>
      </c>
      <c r="T62" s="137">
        <v>0</v>
      </c>
      <c r="U62" s="137">
        <v>0</v>
      </c>
      <c r="V62" s="138">
        <v>0</v>
      </c>
      <c r="W62" s="139">
        <f t="shared" si="21"/>
        <v>0.4</v>
      </c>
      <c r="X62" s="140" t="s">
        <v>481</v>
      </c>
      <c r="Y62" s="137">
        <f t="shared" si="40"/>
        <v>400</v>
      </c>
      <c r="Z62" s="141">
        <v>1</v>
      </c>
      <c r="AA62" s="142">
        <f t="shared" si="22"/>
        <v>0.4</v>
      </c>
      <c r="AB62" s="140" t="s">
        <v>120</v>
      </c>
      <c r="AC62" s="143" t="s">
        <v>120</v>
      </c>
      <c r="AD62" s="144">
        <v>0</v>
      </c>
      <c r="AE62" s="145">
        <f t="shared" si="23"/>
        <v>0</v>
      </c>
      <c r="AF62" s="146"/>
      <c r="AG62" s="140" t="s">
        <v>120</v>
      </c>
      <c r="AH62" s="143" t="s">
        <v>120</v>
      </c>
      <c r="AI62" s="144">
        <v>0</v>
      </c>
      <c r="AJ62" s="145">
        <f t="shared" si="24"/>
        <v>0</v>
      </c>
      <c r="AK62" s="146"/>
      <c r="AL62" s="147">
        <f t="shared" si="25"/>
        <v>0.4</v>
      </c>
      <c r="AM62" s="140" t="s">
        <v>120</v>
      </c>
      <c r="AN62" s="143" t="s">
        <v>120</v>
      </c>
      <c r="AO62" s="144">
        <v>0</v>
      </c>
      <c r="AP62" s="148">
        <v>0</v>
      </c>
      <c r="AQ62" s="142">
        <f t="shared" si="26"/>
        <v>0</v>
      </c>
      <c r="AR62" s="140" t="s">
        <v>120</v>
      </c>
      <c r="AS62" s="143" t="s">
        <v>120</v>
      </c>
      <c r="AT62" s="144">
        <v>0</v>
      </c>
      <c r="AU62" s="149">
        <v>0</v>
      </c>
      <c r="AV62" s="145">
        <f t="shared" si="27"/>
        <v>0</v>
      </c>
      <c r="AW62" s="146"/>
      <c r="AX62" s="140" t="s">
        <v>120</v>
      </c>
      <c r="AY62" s="143" t="s">
        <v>120</v>
      </c>
      <c r="AZ62" s="144">
        <v>0</v>
      </c>
      <c r="BA62" s="149">
        <v>0</v>
      </c>
      <c r="BB62" s="145">
        <f t="shared" si="28"/>
        <v>0</v>
      </c>
      <c r="BC62" s="150"/>
      <c r="BD62" s="151">
        <f t="shared" si="29"/>
        <v>0</v>
      </c>
      <c r="BE62" s="152">
        <f t="shared" si="30"/>
        <v>0.4</v>
      </c>
      <c r="BF62" s="140" t="s">
        <v>120</v>
      </c>
      <c r="BG62" s="153" t="s">
        <v>120</v>
      </c>
      <c r="BH62" s="154" t="s">
        <v>120</v>
      </c>
      <c r="BI62" s="155" t="s">
        <v>120</v>
      </c>
      <c r="BJ62" s="156" t="s">
        <v>120</v>
      </c>
      <c r="BK62" s="157"/>
      <c r="BL62" s="158">
        <f>_xlfn.XLOOKUP(L62,[1]Auslegungsgrundlagen!$A$9:$A$100,[1]Auslegungsgrundlagen!$U$9:$U$100)</f>
        <v>40</v>
      </c>
      <c r="BM62" s="137">
        <v>0</v>
      </c>
      <c r="BN62" s="159">
        <v>0</v>
      </c>
      <c r="BO62" s="152">
        <f t="shared" si="31"/>
        <v>0.32</v>
      </c>
      <c r="BP62" s="140" t="s">
        <v>481</v>
      </c>
      <c r="BQ62" s="143">
        <f t="shared" si="41"/>
        <v>320</v>
      </c>
      <c r="BR62" s="160">
        <v>1</v>
      </c>
      <c r="BS62" s="142">
        <f t="shared" si="33"/>
        <v>0.32</v>
      </c>
      <c r="BT62" s="140" t="s">
        <v>120</v>
      </c>
      <c r="BU62" s="143" t="s">
        <v>120</v>
      </c>
      <c r="BV62" s="160">
        <v>0</v>
      </c>
      <c r="BW62" s="145">
        <f t="shared" si="34"/>
        <v>0</v>
      </c>
      <c r="BX62" s="146"/>
      <c r="BY62" s="140" t="s">
        <v>120</v>
      </c>
      <c r="BZ62" s="143" t="s">
        <v>120</v>
      </c>
      <c r="CA62" s="160">
        <v>0</v>
      </c>
      <c r="CB62" s="145">
        <f t="shared" si="35"/>
        <v>0</v>
      </c>
      <c r="CC62" s="146"/>
      <c r="CD62" s="151">
        <f t="shared" si="36"/>
        <v>0.32</v>
      </c>
      <c r="CE62" s="161" t="s">
        <v>120</v>
      </c>
      <c r="CF62" s="162" t="s">
        <v>120</v>
      </c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ht="12.3">
      <c r="A63" s="128" t="s">
        <v>269</v>
      </c>
      <c r="B63" s="129">
        <v>3250</v>
      </c>
      <c r="C63" s="129">
        <v>12050</v>
      </c>
      <c r="D63" s="129"/>
      <c r="E63" s="129"/>
      <c r="F63" s="130"/>
      <c r="G63" s="131" t="s">
        <v>255</v>
      </c>
      <c r="H63" s="131" t="s">
        <v>120</v>
      </c>
      <c r="I63" s="131" t="s">
        <v>120</v>
      </c>
      <c r="J63" s="131" t="s">
        <v>270</v>
      </c>
      <c r="K63" s="131" t="s">
        <v>230</v>
      </c>
      <c r="L63" s="177">
        <v>2</v>
      </c>
      <c r="M63" s="131" t="str">
        <f>_xlfn.XLOOKUP(L63,[1]Auslegungsgrundlagen!$A$9:$A$100,[1]Auslegungsgrundlagen!$B$9:$B$100)</f>
        <v>Einzel-/Zweierbüros</v>
      </c>
      <c r="N63" s="132">
        <v>8</v>
      </c>
      <c r="O63" s="132">
        <v>24.45</v>
      </c>
      <c r="P63" s="133">
        <v>0</v>
      </c>
      <c r="Q63" s="134"/>
      <c r="R63" s="135">
        <f>_xlfn.XLOOKUP(L63,[1]Auslegungsgrundlagen!$A$9:$A$100,[1]Auslegungsgrundlagen!$M$9:$M$100)</f>
        <v>50</v>
      </c>
      <c r="S63" s="136">
        <f>_xlfn.XLOOKUP(L63,[1]Auslegungsgrundlagen!$A$9:$A$100,[1]Auslegungsgrundlagen!$Q$9:$Q$100)*P63</f>
        <v>0</v>
      </c>
      <c r="T63" s="137">
        <v>0</v>
      </c>
      <c r="U63" s="137">
        <v>0</v>
      </c>
      <c r="V63" s="138">
        <v>0</v>
      </c>
      <c r="W63" s="139">
        <f t="shared" si="21"/>
        <v>0.4</v>
      </c>
      <c r="X63" s="140" t="s">
        <v>481</v>
      </c>
      <c r="Y63" s="137">
        <f t="shared" si="40"/>
        <v>400</v>
      </c>
      <c r="Z63" s="141">
        <v>1</v>
      </c>
      <c r="AA63" s="142">
        <f t="shared" si="22"/>
        <v>0.4</v>
      </c>
      <c r="AB63" s="140" t="s">
        <v>120</v>
      </c>
      <c r="AC63" s="143" t="s">
        <v>120</v>
      </c>
      <c r="AD63" s="144">
        <v>0</v>
      </c>
      <c r="AE63" s="145">
        <f t="shared" si="23"/>
        <v>0</v>
      </c>
      <c r="AF63" s="146"/>
      <c r="AG63" s="140" t="s">
        <v>120</v>
      </c>
      <c r="AH63" s="143" t="s">
        <v>120</v>
      </c>
      <c r="AI63" s="144">
        <v>0</v>
      </c>
      <c r="AJ63" s="145">
        <f t="shared" si="24"/>
        <v>0</v>
      </c>
      <c r="AK63" s="146"/>
      <c r="AL63" s="147">
        <f t="shared" si="25"/>
        <v>0.4</v>
      </c>
      <c r="AM63" s="140" t="s">
        <v>120</v>
      </c>
      <c r="AN63" s="143" t="s">
        <v>120</v>
      </c>
      <c r="AO63" s="144">
        <v>0</v>
      </c>
      <c r="AP63" s="148">
        <v>0</v>
      </c>
      <c r="AQ63" s="142">
        <f t="shared" si="26"/>
        <v>0</v>
      </c>
      <c r="AR63" s="140" t="s">
        <v>120</v>
      </c>
      <c r="AS63" s="143" t="s">
        <v>120</v>
      </c>
      <c r="AT63" s="144">
        <v>0</v>
      </c>
      <c r="AU63" s="149">
        <v>0</v>
      </c>
      <c r="AV63" s="145">
        <f t="shared" si="27"/>
        <v>0</v>
      </c>
      <c r="AW63" s="146"/>
      <c r="AX63" s="140" t="s">
        <v>120</v>
      </c>
      <c r="AY63" s="143" t="s">
        <v>120</v>
      </c>
      <c r="AZ63" s="144">
        <v>0</v>
      </c>
      <c r="BA63" s="149">
        <v>0</v>
      </c>
      <c r="BB63" s="145">
        <f t="shared" si="28"/>
        <v>0</v>
      </c>
      <c r="BC63" s="150"/>
      <c r="BD63" s="151">
        <f t="shared" si="29"/>
        <v>0</v>
      </c>
      <c r="BE63" s="152">
        <f t="shared" si="30"/>
        <v>0.4</v>
      </c>
      <c r="BF63" s="140" t="s">
        <v>120</v>
      </c>
      <c r="BG63" s="153" t="s">
        <v>120</v>
      </c>
      <c r="BH63" s="154" t="s">
        <v>120</v>
      </c>
      <c r="BI63" s="155" t="s">
        <v>120</v>
      </c>
      <c r="BJ63" s="156" t="s">
        <v>120</v>
      </c>
      <c r="BK63" s="157"/>
      <c r="BL63" s="158">
        <f>_xlfn.XLOOKUP(L63,[1]Auslegungsgrundlagen!$A$9:$A$100,[1]Auslegungsgrundlagen!$U$9:$U$100)</f>
        <v>40</v>
      </c>
      <c r="BM63" s="137">
        <v>0</v>
      </c>
      <c r="BN63" s="159">
        <v>0</v>
      </c>
      <c r="BO63" s="152">
        <f t="shared" si="31"/>
        <v>0.32</v>
      </c>
      <c r="BP63" s="140" t="s">
        <v>481</v>
      </c>
      <c r="BQ63" s="143">
        <f t="shared" si="41"/>
        <v>320</v>
      </c>
      <c r="BR63" s="160">
        <v>1</v>
      </c>
      <c r="BS63" s="142">
        <f t="shared" si="33"/>
        <v>0.32</v>
      </c>
      <c r="BT63" s="140" t="s">
        <v>120</v>
      </c>
      <c r="BU63" s="143" t="s">
        <v>120</v>
      </c>
      <c r="BV63" s="160">
        <v>0</v>
      </c>
      <c r="BW63" s="145">
        <f t="shared" si="34"/>
        <v>0</v>
      </c>
      <c r="BX63" s="146"/>
      <c r="BY63" s="140" t="s">
        <v>120</v>
      </c>
      <c r="BZ63" s="143" t="s">
        <v>120</v>
      </c>
      <c r="CA63" s="160">
        <v>0</v>
      </c>
      <c r="CB63" s="145">
        <f t="shared" si="35"/>
        <v>0</v>
      </c>
      <c r="CC63" s="146"/>
      <c r="CD63" s="151">
        <f t="shared" si="36"/>
        <v>0.32</v>
      </c>
      <c r="CE63" s="161" t="s">
        <v>120</v>
      </c>
      <c r="CF63" s="162" t="s">
        <v>120</v>
      </c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ht="12.3">
      <c r="A64" s="128" t="s">
        <v>254</v>
      </c>
      <c r="B64" s="129">
        <v>3250</v>
      </c>
      <c r="C64" s="129">
        <v>11750</v>
      </c>
      <c r="D64" s="129"/>
      <c r="E64" s="129"/>
      <c r="F64" s="130"/>
      <c r="G64" s="131" t="s">
        <v>255</v>
      </c>
      <c r="H64" s="131" t="s">
        <v>120</v>
      </c>
      <c r="I64" s="131" t="s">
        <v>120</v>
      </c>
      <c r="J64" s="131" t="s">
        <v>256</v>
      </c>
      <c r="K64" s="131" t="s">
        <v>168</v>
      </c>
      <c r="L64" s="177">
        <v>18</v>
      </c>
      <c r="M64" s="131" t="str">
        <f>_xlfn.XLOOKUP(L64,[1]Auslegungsgrundlagen!$A$9:$A$100,[1]Auslegungsgrundlagen!$B$9:$B$100)</f>
        <v>Schächte</v>
      </c>
      <c r="N64" s="132">
        <v>8</v>
      </c>
      <c r="O64" s="132">
        <v>23.25</v>
      </c>
      <c r="P64" s="133">
        <v>0</v>
      </c>
      <c r="Q64" s="134"/>
      <c r="R64" s="135">
        <f>_xlfn.XLOOKUP(L64,[1]Auslegungsgrundlagen!$A$9:$A$100,[1]Auslegungsgrundlagen!$M$9:$M$100)</f>
        <v>0</v>
      </c>
      <c r="S64" s="136">
        <f>_xlfn.XLOOKUP(L64,[1]Auslegungsgrundlagen!$A$9:$A$100,[1]Auslegungsgrundlagen!$Q$9:$Q$100)*P64</f>
        <v>0</v>
      </c>
      <c r="T64" s="137">
        <v>0</v>
      </c>
      <c r="U64" s="137">
        <v>0</v>
      </c>
      <c r="V64" s="138">
        <v>0</v>
      </c>
      <c r="W64" s="139">
        <f t="shared" si="21"/>
        <v>0</v>
      </c>
      <c r="X64" s="140" t="s">
        <v>120</v>
      </c>
      <c r="Y64" s="137" t="s">
        <v>120</v>
      </c>
      <c r="Z64" s="141">
        <v>0</v>
      </c>
      <c r="AA64" s="142">
        <f t="shared" si="22"/>
        <v>0</v>
      </c>
      <c r="AB64" s="140" t="s">
        <v>120</v>
      </c>
      <c r="AC64" s="143" t="s">
        <v>120</v>
      </c>
      <c r="AD64" s="144">
        <v>0</v>
      </c>
      <c r="AE64" s="145">
        <f t="shared" si="23"/>
        <v>0</v>
      </c>
      <c r="AF64" s="146"/>
      <c r="AG64" s="140" t="s">
        <v>120</v>
      </c>
      <c r="AH64" s="143" t="s">
        <v>120</v>
      </c>
      <c r="AI64" s="144">
        <v>0</v>
      </c>
      <c r="AJ64" s="145">
        <f t="shared" si="24"/>
        <v>0</v>
      </c>
      <c r="AK64" s="146"/>
      <c r="AL64" s="147">
        <f t="shared" si="25"/>
        <v>0</v>
      </c>
      <c r="AM64" s="140" t="s">
        <v>120</v>
      </c>
      <c r="AN64" s="143" t="s">
        <v>120</v>
      </c>
      <c r="AO64" s="144">
        <v>0</v>
      </c>
      <c r="AP64" s="148">
        <v>0</v>
      </c>
      <c r="AQ64" s="142">
        <f t="shared" si="26"/>
        <v>0</v>
      </c>
      <c r="AR64" s="140" t="s">
        <v>120</v>
      </c>
      <c r="AS64" s="143" t="s">
        <v>120</v>
      </c>
      <c r="AT64" s="144">
        <v>0</v>
      </c>
      <c r="AU64" s="149">
        <v>0</v>
      </c>
      <c r="AV64" s="145">
        <f t="shared" si="27"/>
        <v>0</v>
      </c>
      <c r="AW64" s="146"/>
      <c r="AX64" s="140" t="s">
        <v>120</v>
      </c>
      <c r="AY64" s="143" t="s">
        <v>120</v>
      </c>
      <c r="AZ64" s="144">
        <v>0</v>
      </c>
      <c r="BA64" s="149">
        <v>0</v>
      </c>
      <c r="BB64" s="145">
        <f t="shared" si="28"/>
        <v>0</v>
      </c>
      <c r="BC64" s="150"/>
      <c r="BD64" s="151">
        <f t="shared" si="29"/>
        <v>0</v>
      </c>
      <c r="BE64" s="152">
        <f t="shared" si="30"/>
        <v>0</v>
      </c>
      <c r="BF64" s="140" t="s">
        <v>120</v>
      </c>
      <c r="BG64" s="153" t="s">
        <v>120</v>
      </c>
      <c r="BH64" s="154" t="s">
        <v>120</v>
      </c>
      <c r="BI64" s="155" t="s">
        <v>120</v>
      </c>
      <c r="BJ64" s="156" t="s">
        <v>120</v>
      </c>
      <c r="BK64" s="157"/>
      <c r="BL64" s="158">
        <f>_xlfn.XLOOKUP(L64,[1]Auslegungsgrundlagen!$A$9:$A$100,[1]Auslegungsgrundlagen!$U$9:$U$100)</f>
        <v>0</v>
      </c>
      <c r="BM64" s="137">
        <v>0</v>
      </c>
      <c r="BN64" s="159">
        <v>0</v>
      </c>
      <c r="BO64" s="152">
        <f t="shared" si="31"/>
        <v>0</v>
      </c>
      <c r="BP64" s="140" t="s">
        <v>120</v>
      </c>
      <c r="BQ64" s="143" t="s">
        <v>120</v>
      </c>
      <c r="BR64" s="160">
        <v>0</v>
      </c>
      <c r="BS64" s="142">
        <f t="shared" si="33"/>
        <v>0</v>
      </c>
      <c r="BT64" s="140" t="s">
        <v>120</v>
      </c>
      <c r="BU64" s="143" t="s">
        <v>120</v>
      </c>
      <c r="BV64" s="160">
        <v>0</v>
      </c>
      <c r="BW64" s="145">
        <f t="shared" si="34"/>
        <v>0</v>
      </c>
      <c r="BX64" s="146"/>
      <c r="BY64" s="140" t="s">
        <v>120</v>
      </c>
      <c r="BZ64" s="143" t="s">
        <v>120</v>
      </c>
      <c r="CA64" s="160">
        <v>0</v>
      </c>
      <c r="CB64" s="145">
        <f t="shared" si="35"/>
        <v>0</v>
      </c>
      <c r="CC64" s="146"/>
      <c r="CD64" s="151">
        <f t="shared" si="36"/>
        <v>0</v>
      </c>
      <c r="CE64" s="161" t="s">
        <v>120</v>
      </c>
      <c r="CF64" s="162" t="s">
        <v>120</v>
      </c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ht="12.3">
      <c r="A65" s="128" t="s">
        <v>257</v>
      </c>
      <c r="B65" s="129">
        <v>3250</v>
      </c>
      <c r="C65" s="129">
        <v>11750</v>
      </c>
      <c r="D65" s="129"/>
      <c r="E65" s="129"/>
      <c r="F65" s="130"/>
      <c r="G65" s="131" t="s">
        <v>255</v>
      </c>
      <c r="H65" s="131" t="s">
        <v>120</v>
      </c>
      <c r="I65" s="131" t="s">
        <v>120</v>
      </c>
      <c r="J65" s="131" t="s">
        <v>258</v>
      </c>
      <c r="K65" s="131" t="s">
        <v>483</v>
      </c>
      <c r="L65" s="177">
        <v>13</v>
      </c>
      <c r="M65" s="131" t="str">
        <f>_xlfn.XLOOKUP(L65,[1]Auslegungsgrundlagen!$A$9:$A$100,[1]Auslegungsgrundlagen!$B$9:$B$100)</f>
        <v>Etagenverteiler</v>
      </c>
      <c r="N65" s="132">
        <v>8</v>
      </c>
      <c r="O65" s="132">
        <v>23.25</v>
      </c>
      <c r="P65" s="133">
        <v>0</v>
      </c>
      <c r="Q65" s="134"/>
      <c r="R65" s="135">
        <f>_xlfn.XLOOKUP(L65,[1]Auslegungsgrundlagen!$A$9:$A$100,[1]Auslegungsgrundlagen!$M$9:$M$100)</f>
        <v>0</v>
      </c>
      <c r="S65" s="136">
        <f>_xlfn.XLOOKUP(L65,[1]Auslegungsgrundlagen!$A$9:$A$100,[1]Auslegungsgrundlagen!$Q$9:$Q$100)*P65</f>
        <v>0</v>
      </c>
      <c r="T65" s="137">
        <v>3500</v>
      </c>
      <c r="U65" s="137">
        <v>0</v>
      </c>
      <c r="V65" s="138">
        <v>0</v>
      </c>
      <c r="W65" s="139">
        <f t="shared" si="21"/>
        <v>3.5</v>
      </c>
      <c r="X65" s="140" t="s">
        <v>11</v>
      </c>
      <c r="Y65" s="137">
        <f>W65*1000</f>
        <v>3500</v>
      </c>
      <c r="Z65" s="141">
        <v>1</v>
      </c>
      <c r="AA65" s="142">
        <f t="shared" si="22"/>
        <v>3.5</v>
      </c>
      <c r="AB65" s="140" t="s">
        <v>120</v>
      </c>
      <c r="AC65" s="143" t="s">
        <v>120</v>
      </c>
      <c r="AD65" s="144">
        <v>0</v>
      </c>
      <c r="AE65" s="145">
        <f t="shared" si="23"/>
        <v>0</v>
      </c>
      <c r="AF65" s="146"/>
      <c r="AG65" s="140" t="s">
        <v>120</v>
      </c>
      <c r="AH65" s="143" t="s">
        <v>120</v>
      </c>
      <c r="AI65" s="144">
        <v>0</v>
      </c>
      <c r="AJ65" s="145">
        <f t="shared" si="24"/>
        <v>0</v>
      </c>
      <c r="AK65" s="146"/>
      <c r="AL65" s="147">
        <f t="shared" si="25"/>
        <v>3.5</v>
      </c>
      <c r="AM65" s="140" t="s">
        <v>120</v>
      </c>
      <c r="AN65" s="143" t="s">
        <v>120</v>
      </c>
      <c r="AO65" s="144">
        <v>0</v>
      </c>
      <c r="AP65" s="148">
        <v>0</v>
      </c>
      <c r="AQ65" s="142">
        <f t="shared" si="26"/>
        <v>0</v>
      </c>
      <c r="AR65" s="140" t="s">
        <v>120</v>
      </c>
      <c r="AS65" s="143" t="s">
        <v>120</v>
      </c>
      <c r="AT65" s="144">
        <v>0</v>
      </c>
      <c r="AU65" s="149">
        <v>0</v>
      </c>
      <c r="AV65" s="145">
        <f t="shared" si="27"/>
        <v>0</v>
      </c>
      <c r="AW65" s="146"/>
      <c r="AX65" s="140" t="s">
        <v>120</v>
      </c>
      <c r="AY65" s="143" t="s">
        <v>120</v>
      </c>
      <c r="AZ65" s="144">
        <v>0</v>
      </c>
      <c r="BA65" s="149">
        <v>0</v>
      </c>
      <c r="BB65" s="145">
        <f t="shared" si="28"/>
        <v>0</v>
      </c>
      <c r="BC65" s="150"/>
      <c r="BD65" s="151">
        <f t="shared" si="29"/>
        <v>0</v>
      </c>
      <c r="BE65" s="152">
        <f t="shared" si="30"/>
        <v>3.5</v>
      </c>
      <c r="BF65" s="140" t="s">
        <v>120</v>
      </c>
      <c r="BG65" s="153" t="s">
        <v>120</v>
      </c>
      <c r="BH65" s="154" t="s">
        <v>120</v>
      </c>
      <c r="BI65" s="155" t="s">
        <v>120</v>
      </c>
      <c r="BJ65" s="156" t="s">
        <v>120</v>
      </c>
      <c r="BK65" s="157"/>
      <c r="BL65" s="158">
        <f>_xlfn.XLOOKUP(L65,[1]Auslegungsgrundlagen!$A$9:$A$100,[1]Auslegungsgrundlagen!$U$9:$U$100)</f>
        <v>0</v>
      </c>
      <c r="BM65" s="137">
        <v>0</v>
      </c>
      <c r="BN65" s="159">
        <v>0</v>
      </c>
      <c r="BO65" s="152">
        <f t="shared" si="31"/>
        <v>0</v>
      </c>
      <c r="BP65" s="140" t="s">
        <v>120</v>
      </c>
      <c r="BQ65" s="143" t="s">
        <v>120</v>
      </c>
      <c r="BR65" s="160">
        <v>0</v>
      </c>
      <c r="BS65" s="142">
        <f t="shared" si="33"/>
        <v>0</v>
      </c>
      <c r="BT65" s="140" t="s">
        <v>120</v>
      </c>
      <c r="BU65" s="143" t="s">
        <v>120</v>
      </c>
      <c r="BV65" s="160">
        <v>0</v>
      </c>
      <c r="BW65" s="145">
        <f t="shared" si="34"/>
        <v>0</v>
      </c>
      <c r="BX65" s="146"/>
      <c r="BY65" s="140" t="s">
        <v>120</v>
      </c>
      <c r="BZ65" s="143" t="s">
        <v>120</v>
      </c>
      <c r="CA65" s="160">
        <v>0</v>
      </c>
      <c r="CB65" s="145">
        <f t="shared" si="35"/>
        <v>0</v>
      </c>
      <c r="CC65" s="146"/>
      <c r="CD65" s="151">
        <f t="shared" si="36"/>
        <v>0</v>
      </c>
      <c r="CE65" s="161" t="s">
        <v>120</v>
      </c>
      <c r="CF65" s="162" t="s">
        <v>120</v>
      </c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ht="12.3">
      <c r="A66" s="128" t="s">
        <v>299</v>
      </c>
      <c r="B66" s="129">
        <v>3250</v>
      </c>
      <c r="C66" s="129">
        <v>40745</v>
      </c>
      <c r="D66" s="129"/>
      <c r="E66" s="129"/>
      <c r="F66" s="130"/>
      <c r="G66" s="131" t="s">
        <v>255</v>
      </c>
      <c r="H66" s="131" t="s">
        <v>120</v>
      </c>
      <c r="I66" s="131" t="s">
        <v>120</v>
      </c>
      <c r="J66" s="131" t="s">
        <v>300</v>
      </c>
      <c r="K66" s="131" t="s">
        <v>156</v>
      </c>
      <c r="L66" s="177">
        <v>17</v>
      </c>
      <c r="M66" s="131" t="str">
        <f>_xlfn.XLOOKUP(L66,[1]Auslegungsgrundlagen!$A$9:$A$100,[1]Auslegungsgrundlagen!$B$9:$B$100)</f>
        <v>Treppenhäuser/Magistrale</v>
      </c>
      <c r="N66" s="132">
        <v>57</v>
      </c>
      <c r="O66" s="132">
        <v>170.71</v>
      </c>
      <c r="P66" s="133">
        <v>0</v>
      </c>
      <c r="Q66" s="134"/>
      <c r="R66" s="135">
        <f>_xlfn.XLOOKUP(L66,[1]Auslegungsgrundlagen!$A$9:$A$100,[1]Auslegungsgrundlagen!$M$9:$M$100)</f>
        <v>0</v>
      </c>
      <c r="S66" s="136">
        <f>_xlfn.XLOOKUP(L66,[1]Auslegungsgrundlagen!$A$9:$A$100,[1]Auslegungsgrundlagen!$Q$9:$Q$100)*P66</f>
        <v>0</v>
      </c>
      <c r="T66" s="137">
        <v>0</v>
      </c>
      <c r="U66" s="137">
        <v>0</v>
      </c>
      <c r="V66" s="138">
        <v>0</v>
      </c>
      <c r="W66" s="139">
        <f t="shared" si="21"/>
        <v>0</v>
      </c>
      <c r="X66" s="140" t="s">
        <v>120</v>
      </c>
      <c r="Y66" s="137" t="s">
        <v>120</v>
      </c>
      <c r="Z66" s="141">
        <v>0</v>
      </c>
      <c r="AA66" s="142">
        <f t="shared" si="22"/>
        <v>0</v>
      </c>
      <c r="AB66" s="140" t="s">
        <v>120</v>
      </c>
      <c r="AC66" s="143" t="s">
        <v>120</v>
      </c>
      <c r="AD66" s="144">
        <v>0</v>
      </c>
      <c r="AE66" s="145">
        <f t="shared" si="23"/>
        <v>0</v>
      </c>
      <c r="AF66" s="146"/>
      <c r="AG66" s="140" t="s">
        <v>120</v>
      </c>
      <c r="AH66" s="143" t="s">
        <v>120</v>
      </c>
      <c r="AI66" s="144">
        <v>0</v>
      </c>
      <c r="AJ66" s="145">
        <f t="shared" si="24"/>
        <v>0</v>
      </c>
      <c r="AK66" s="146"/>
      <c r="AL66" s="147">
        <f t="shared" si="25"/>
        <v>0</v>
      </c>
      <c r="AM66" s="140" t="s">
        <v>120</v>
      </c>
      <c r="AN66" s="143" t="s">
        <v>120</v>
      </c>
      <c r="AO66" s="144">
        <v>0</v>
      </c>
      <c r="AP66" s="148">
        <v>0</v>
      </c>
      <c r="AQ66" s="142">
        <f t="shared" si="26"/>
        <v>0</v>
      </c>
      <c r="AR66" s="140" t="s">
        <v>120</v>
      </c>
      <c r="AS66" s="143" t="s">
        <v>120</v>
      </c>
      <c r="AT66" s="144">
        <v>0</v>
      </c>
      <c r="AU66" s="149">
        <v>0</v>
      </c>
      <c r="AV66" s="145">
        <f t="shared" si="27"/>
        <v>0</v>
      </c>
      <c r="AW66" s="146"/>
      <c r="AX66" s="140" t="s">
        <v>120</v>
      </c>
      <c r="AY66" s="143" t="s">
        <v>120</v>
      </c>
      <c r="AZ66" s="144">
        <v>0</v>
      </c>
      <c r="BA66" s="149">
        <v>0</v>
      </c>
      <c r="BB66" s="145">
        <f t="shared" si="28"/>
        <v>0</v>
      </c>
      <c r="BC66" s="150"/>
      <c r="BD66" s="151">
        <f t="shared" si="29"/>
        <v>0</v>
      </c>
      <c r="BE66" s="152">
        <f t="shared" si="30"/>
        <v>0</v>
      </c>
      <c r="BF66" s="140" t="s">
        <v>120</v>
      </c>
      <c r="BG66" s="153" t="s">
        <v>120</v>
      </c>
      <c r="BH66" s="154" t="s">
        <v>120</v>
      </c>
      <c r="BI66" s="155" t="s">
        <v>120</v>
      </c>
      <c r="BJ66" s="156" t="s">
        <v>120</v>
      </c>
      <c r="BK66" s="157"/>
      <c r="BL66" s="158">
        <f>_xlfn.XLOOKUP(L66,[1]Auslegungsgrundlagen!$A$9:$A$100,[1]Auslegungsgrundlagen!$U$9:$U$100)</f>
        <v>25</v>
      </c>
      <c r="BM66" s="137">
        <v>0</v>
      </c>
      <c r="BN66" s="159">
        <v>0</v>
      </c>
      <c r="BO66" s="152">
        <f t="shared" si="31"/>
        <v>1.43</v>
      </c>
      <c r="BP66" s="140" t="s">
        <v>12</v>
      </c>
      <c r="BQ66" s="143">
        <f t="shared" ref="BQ66" si="42">BO66*1000</f>
        <v>1430</v>
      </c>
      <c r="BR66" s="160">
        <v>1</v>
      </c>
      <c r="BS66" s="142">
        <f t="shared" si="33"/>
        <v>1.43</v>
      </c>
      <c r="BT66" s="140" t="s">
        <v>120</v>
      </c>
      <c r="BU66" s="143" t="s">
        <v>120</v>
      </c>
      <c r="BV66" s="160">
        <v>0</v>
      </c>
      <c r="BW66" s="145">
        <f t="shared" si="34"/>
        <v>0</v>
      </c>
      <c r="BX66" s="146"/>
      <c r="BY66" s="140" t="s">
        <v>120</v>
      </c>
      <c r="BZ66" s="143" t="s">
        <v>120</v>
      </c>
      <c r="CA66" s="160">
        <v>0</v>
      </c>
      <c r="CB66" s="145">
        <f t="shared" si="35"/>
        <v>0</v>
      </c>
      <c r="CC66" s="146"/>
      <c r="CD66" s="151">
        <f t="shared" si="36"/>
        <v>1.43</v>
      </c>
      <c r="CE66" s="161" t="s">
        <v>120</v>
      </c>
      <c r="CF66" s="162" t="s">
        <v>120</v>
      </c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ht="12.3">
      <c r="A67" s="128" t="s">
        <v>297</v>
      </c>
      <c r="B67" s="129">
        <v>3250</v>
      </c>
      <c r="C67" s="129">
        <v>12355</v>
      </c>
      <c r="D67" s="129"/>
      <c r="E67" s="129"/>
      <c r="F67" s="130"/>
      <c r="G67" s="131" t="s">
        <v>255</v>
      </c>
      <c r="H67" s="131" t="s">
        <v>120</v>
      </c>
      <c r="I67" s="131" t="s">
        <v>120</v>
      </c>
      <c r="J67" s="131" t="s">
        <v>298</v>
      </c>
      <c r="K67" s="131" t="s">
        <v>125</v>
      </c>
      <c r="L67" s="177">
        <v>11</v>
      </c>
      <c r="M67" s="131" t="str">
        <f>_xlfn.XLOOKUP(L67,[1]Auslegungsgrundlagen!$A$9:$A$100,[1]Auslegungsgrundlagen!$B$9:$B$100)</f>
        <v>Lager innenliegend</v>
      </c>
      <c r="N67" s="132">
        <v>10</v>
      </c>
      <c r="O67" s="132">
        <v>28.52</v>
      </c>
      <c r="P67" s="133">
        <v>0</v>
      </c>
      <c r="Q67" s="134"/>
      <c r="R67" s="135">
        <f>_xlfn.XLOOKUP(L67,[1]Auslegungsgrundlagen!$A$9:$A$100,[1]Auslegungsgrundlagen!$M$9:$M$100)</f>
        <v>0</v>
      </c>
      <c r="S67" s="136">
        <f>_xlfn.XLOOKUP(L67,[1]Auslegungsgrundlagen!$A$9:$A$100,[1]Auslegungsgrundlagen!$Q$9:$Q$100)*P67</f>
        <v>0</v>
      </c>
      <c r="T67" s="137">
        <v>0</v>
      </c>
      <c r="U67" s="137">
        <v>0</v>
      </c>
      <c r="V67" s="138">
        <v>0</v>
      </c>
      <c r="W67" s="139">
        <f t="shared" si="21"/>
        <v>0</v>
      </c>
      <c r="X67" s="140" t="s">
        <v>120</v>
      </c>
      <c r="Y67" s="137" t="s">
        <v>120</v>
      </c>
      <c r="Z67" s="141">
        <v>0</v>
      </c>
      <c r="AA67" s="142">
        <f t="shared" si="22"/>
        <v>0</v>
      </c>
      <c r="AB67" s="140" t="s">
        <v>120</v>
      </c>
      <c r="AC67" s="143" t="s">
        <v>120</v>
      </c>
      <c r="AD67" s="144">
        <v>0</v>
      </c>
      <c r="AE67" s="145">
        <f t="shared" si="23"/>
        <v>0</v>
      </c>
      <c r="AF67" s="146"/>
      <c r="AG67" s="140" t="s">
        <v>120</v>
      </c>
      <c r="AH67" s="143" t="s">
        <v>120</v>
      </c>
      <c r="AI67" s="144">
        <v>0</v>
      </c>
      <c r="AJ67" s="145">
        <f t="shared" si="24"/>
        <v>0</v>
      </c>
      <c r="AK67" s="146"/>
      <c r="AL67" s="147">
        <f t="shared" si="25"/>
        <v>0</v>
      </c>
      <c r="AM67" s="140" t="s">
        <v>120</v>
      </c>
      <c r="AN67" s="143" t="s">
        <v>120</v>
      </c>
      <c r="AO67" s="144">
        <v>0</v>
      </c>
      <c r="AP67" s="148">
        <v>0</v>
      </c>
      <c r="AQ67" s="142">
        <f t="shared" si="26"/>
        <v>0</v>
      </c>
      <c r="AR67" s="140" t="s">
        <v>120</v>
      </c>
      <c r="AS67" s="143" t="s">
        <v>120</v>
      </c>
      <c r="AT67" s="144">
        <v>0</v>
      </c>
      <c r="AU67" s="149">
        <v>0</v>
      </c>
      <c r="AV67" s="145">
        <f t="shared" si="27"/>
        <v>0</v>
      </c>
      <c r="AW67" s="146"/>
      <c r="AX67" s="140" t="s">
        <v>120</v>
      </c>
      <c r="AY67" s="143" t="s">
        <v>120</v>
      </c>
      <c r="AZ67" s="144">
        <v>0</v>
      </c>
      <c r="BA67" s="149">
        <v>0</v>
      </c>
      <c r="BB67" s="145">
        <f t="shared" si="28"/>
        <v>0</v>
      </c>
      <c r="BC67" s="150"/>
      <c r="BD67" s="151">
        <f t="shared" si="29"/>
        <v>0</v>
      </c>
      <c r="BE67" s="152">
        <f t="shared" si="30"/>
        <v>0</v>
      </c>
      <c r="BF67" s="140" t="s">
        <v>120</v>
      </c>
      <c r="BG67" s="153" t="s">
        <v>120</v>
      </c>
      <c r="BH67" s="154" t="s">
        <v>120</v>
      </c>
      <c r="BI67" s="155" t="s">
        <v>120</v>
      </c>
      <c r="BJ67" s="156" t="s">
        <v>120</v>
      </c>
      <c r="BK67" s="157"/>
      <c r="BL67" s="158">
        <f>_xlfn.XLOOKUP(L67,[1]Auslegungsgrundlagen!$A$9:$A$100,[1]Auslegungsgrundlagen!$U$9:$U$100)</f>
        <v>0</v>
      </c>
      <c r="BM67" s="137">
        <v>0</v>
      </c>
      <c r="BN67" s="159">
        <v>0</v>
      </c>
      <c r="BO67" s="152">
        <f t="shared" si="31"/>
        <v>0</v>
      </c>
      <c r="BP67" s="140" t="s">
        <v>120</v>
      </c>
      <c r="BQ67" s="143" t="s">
        <v>120</v>
      </c>
      <c r="BR67" s="160">
        <v>0</v>
      </c>
      <c r="BS67" s="142">
        <f t="shared" si="33"/>
        <v>0</v>
      </c>
      <c r="BT67" s="140" t="s">
        <v>120</v>
      </c>
      <c r="BU67" s="143" t="s">
        <v>120</v>
      </c>
      <c r="BV67" s="160">
        <v>0</v>
      </c>
      <c r="BW67" s="145">
        <f t="shared" si="34"/>
        <v>0</v>
      </c>
      <c r="BX67" s="146"/>
      <c r="BY67" s="140" t="s">
        <v>120</v>
      </c>
      <c r="BZ67" s="143" t="s">
        <v>120</v>
      </c>
      <c r="CA67" s="160">
        <v>0</v>
      </c>
      <c r="CB67" s="145">
        <f t="shared" si="35"/>
        <v>0</v>
      </c>
      <c r="CC67" s="146"/>
      <c r="CD67" s="151">
        <f t="shared" si="36"/>
        <v>0</v>
      </c>
      <c r="CE67" s="161" t="s">
        <v>120</v>
      </c>
      <c r="CF67" s="162" t="s">
        <v>120</v>
      </c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ht="12.3">
      <c r="A68" s="128" t="s">
        <v>292</v>
      </c>
      <c r="B68" s="129">
        <v>3250</v>
      </c>
      <c r="C68" s="129">
        <v>11815</v>
      </c>
      <c r="D68" s="129"/>
      <c r="E68" s="129"/>
      <c r="F68" s="130"/>
      <c r="G68" s="131" t="s">
        <v>255</v>
      </c>
      <c r="H68" s="131" t="s">
        <v>120</v>
      </c>
      <c r="I68" s="131" t="s">
        <v>120</v>
      </c>
      <c r="J68" s="131" t="s">
        <v>293</v>
      </c>
      <c r="K68" s="131" t="s">
        <v>122</v>
      </c>
      <c r="L68" s="177">
        <v>19</v>
      </c>
      <c r="M68" s="131" t="str">
        <f>_xlfn.XLOOKUP(L68,[1]Auslegungsgrundlagen!$A$9:$A$100,[1]Auslegungsgrundlagen!$B$9:$B$100)</f>
        <v>Aufzüge</v>
      </c>
      <c r="N68" s="132">
        <v>9</v>
      </c>
      <c r="O68" s="132">
        <v>26.17</v>
      </c>
      <c r="P68" s="133">
        <v>0</v>
      </c>
      <c r="Q68" s="134"/>
      <c r="R68" s="135">
        <f>_xlfn.XLOOKUP(L68,[1]Auslegungsgrundlagen!$A$9:$A$100,[1]Auslegungsgrundlagen!$M$9:$M$100)</f>
        <v>0</v>
      </c>
      <c r="S68" s="136">
        <f>_xlfn.XLOOKUP(L68,[1]Auslegungsgrundlagen!$A$9:$A$100,[1]Auslegungsgrundlagen!$Q$9:$Q$100)*P68</f>
        <v>0</v>
      </c>
      <c r="T68" s="137">
        <v>0</v>
      </c>
      <c r="U68" s="137">
        <v>0</v>
      </c>
      <c r="V68" s="138">
        <v>0</v>
      </c>
      <c r="W68" s="139">
        <f t="shared" si="21"/>
        <v>0</v>
      </c>
      <c r="X68" s="140" t="s">
        <v>120</v>
      </c>
      <c r="Y68" s="137" t="s">
        <v>120</v>
      </c>
      <c r="Z68" s="141">
        <v>0</v>
      </c>
      <c r="AA68" s="142">
        <f t="shared" si="22"/>
        <v>0</v>
      </c>
      <c r="AB68" s="140" t="s">
        <v>120</v>
      </c>
      <c r="AC68" s="143" t="s">
        <v>120</v>
      </c>
      <c r="AD68" s="144">
        <v>0</v>
      </c>
      <c r="AE68" s="145">
        <f t="shared" si="23"/>
        <v>0</v>
      </c>
      <c r="AF68" s="146"/>
      <c r="AG68" s="140" t="s">
        <v>120</v>
      </c>
      <c r="AH68" s="143" t="s">
        <v>120</v>
      </c>
      <c r="AI68" s="144">
        <v>0</v>
      </c>
      <c r="AJ68" s="145">
        <f t="shared" si="24"/>
        <v>0</v>
      </c>
      <c r="AK68" s="146"/>
      <c r="AL68" s="147">
        <f t="shared" si="25"/>
        <v>0</v>
      </c>
      <c r="AM68" s="140" t="s">
        <v>120</v>
      </c>
      <c r="AN68" s="143" t="s">
        <v>120</v>
      </c>
      <c r="AO68" s="144">
        <v>0</v>
      </c>
      <c r="AP68" s="148">
        <v>0</v>
      </c>
      <c r="AQ68" s="142">
        <f t="shared" si="26"/>
        <v>0</v>
      </c>
      <c r="AR68" s="140" t="s">
        <v>120</v>
      </c>
      <c r="AS68" s="143" t="s">
        <v>120</v>
      </c>
      <c r="AT68" s="144">
        <v>0</v>
      </c>
      <c r="AU68" s="149">
        <v>0</v>
      </c>
      <c r="AV68" s="145">
        <f t="shared" si="27"/>
        <v>0</v>
      </c>
      <c r="AW68" s="146"/>
      <c r="AX68" s="140" t="s">
        <v>120</v>
      </c>
      <c r="AY68" s="143" t="s">
        <v>120</v>
      </c>
      <c r="AZ68" s="144">
        <v>0</v>
      </c>
      <c r="BA68" s="149">
        <v>0</v>
      </c>
      <c r="BB68" s="145">
        <f t="shared" si="28"/>
        <v>0</v>
      </c>
      <c r="BC68" s="150"/>
      <c r="BD68" s="151">
        <f t="shared" si="29"/>
        <v>0</v>
      </c>
      <c r="BE68" s="152">
        <f t="shared" si="30"/>
        <v>0</v>
      </c>
      <c r="BF68" s="140" t="s">
        <v>120</v>
      </c>
      <c r="BG68" s="153" t="s">
        <v>120</v>
      </c>
      <c r="BH68" s="154" t="s">
        <v>120</v>
      </c>
      <c r="BI68" s="155" t="s">
        <v>120</v>
      </c>
      <c r="BJ68" s="156" t="s">
        <v>120</v>
      </c>
      <c r="BK68" s="157"/>
      <c r="BL68" s="158">
        <f>_xlfn.XLOOKUP(L68,[1]Auslegungsgrundlagen!$A$9:$A$100,[1]Auslegungsgrundlagen!$U$9:$U$100)</f>
        <v>0</v>
      </c>
      <c r="BM68" s="137">
        <v>0</v>
      </c>
      <c r="BN68" s="159">
        <v>0</v>
      </c>
      <c r="BO68" s="152">
        <f t="shared" si="31"/>
        <v>0</v>
      </c>
      <c r="BP68" s="140" t="s">
        <v>120</v>
      </c>
      <c r="BQ68" s="143" t="s">
        <v>120</v>
      </c>
      <c r="BR68" s="160">
        <v>0</v>
      </c>
      <c r="BS68" s="142">
        <f t="shared" si="33"/>
        <v>0</v>
      </c>
      <c r="BT68" s="140" t="s">
        <v>120</v>
      </c>
      <c r="BU68" s="143" t="s">
        <v>120</v>
      </c>
      <c r="BV68" s="160">
        <v>0</v>
      </c>
      <c r="BW68" s="145">
        <f t="shared" si="34"/>
        <v>0</v>
      </c>
      <c r="BX68" s="146"/>
      <c r="BY68" s="140" t="s">
        <v>120</v>
      </c>
      <c r="BZ68" s="143" t="s">
        <v>120</v>
      </c>
      <c r="CA68" s="160">
        <v>0</v>
      </c>
      <c r="CB68" s="145">
        <f t="shared" si="35"/>
        <v>0</v>
      </c>
      <c r="CC68" s="146"/>
      <c r="CD68" s="151">
        <f t="shared" si="36"/>
        <v>0</v>
      </c>
      <c r="CE68" s="161" t="s">
        <v>120</v>
      </c>
      <c r="CF68" s="162" t="s">
        <v>120</v>
      </c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ht="12.3">
      <c r="A69" s="128" t="s">
        <v>261</v>
      </c>
      <c r="B69" s="129">
        <v>3250</v>
      </c>
      <c r="C69" s="129">
        <v>7328</v>
      </c>
      <c r="D69" s="129"/>
      <c r="E69" s="129"/>
      <c r="F69" s="130"/>
      <c r="G69" s="131" t="s">
        <v>255</v>
      </c>
      <c r="H69" s="131" t="s">
        <v>120</v>
      </c>
      <c r="I69" s="131" t="s">
        <v>120</v>
      </c>
      <c r="J69" s="131" t="s">
        <v>262</v>
      </c>
      <c r="K69" s="131" t="s">
        <v>221</v>
      </c>
      <c r="L69" s="177">
        <v>8</v>
      </c>
      <c r="M69" s="131" t="str">
        <f>_xlfn.XLOOKUP(L69,[1]Auslegungsgrundlagen!$A$9:$A$100,[1]Auslegungsgrundlagen!$B$9:$B$100)</f>
        <v>WCs</v>
      </c>
      <c r="N69" s="132">
        <v>3</v>
      </c>
      <c r="O69" s="132">
        <v>10.050000000000001</v>
      </c>
      <c r="P69" s="133">
        <v>0</v>
      </c>
      <c r="Q69" s="134"/>
      <c r="R69" s="135">
        <f>_xlfn.XLOOKUP(L69,[1]Auslegungsgrundlagen!$A$9:$A$100,[1]Auslegungsgrundlagen!$M$9:$M$100)</f>
        <v>0</v>
      </c>
      <c r="S69" s="136">
        <f>_xlfn.XLOOKUP(L69,[1]Auslegungsgrundlagen!$A$9:$A$100,[1]Auslegungsgrundlagen!$Q$9:$Q$100)*P69</f>
        <v>0</v>
      </c>
      <c r="T69" s="137">
        <v>0</v>
      </c>
      <c r="U69" s="137">
        <v>0</v>
      </c>
      <c r="V69" s="138">
        <v>0</v>
      </c>
      <c r="W69" s="139">
        <f t="shared" si="21"/>
        <v>0</v>
      </c>
      <c r="X69" s="140" t="s">
        <v>120</v>
      </c>
      <c r="Y69" s="137" t="s">
        <v>120</v>
      </c>
      <c r="Z69" s="141">
        <v>0</v>
      </c>
      <c r="AA69" s="142">
        <f t="shared" si="22"/>
        <v>0</v>
      </c>
      <c r="AB69" s="140" t="s">
        <v>120</v>
      </c>
      <c r="AC69" s="143" t="s">
        <v>120</v>
      </c>
      <c r="AD69" s="144">
        <v>0</v>
      </c>
      <c r="AE69" s="145">
        <f t="shared" si="23"/>
        <v>0</v>
      </c>
      <c r="AF69" s="146"/>
      <c r="AG69" s="140" t="s">
        <v>120</v>
      </c>
      <c r="AH69" s="143" t="s">
        <v>120</v>
      </c>
      <c r="AI69" s="144">
        <v>0</v>
      </c>
      <c r="AJ69" s="145">
        <f t="shared" si="24"/>
        <v>0</v>
      </c>
      <c r="AK69" s="146"/>
      <c r="AL69" s="147">
        <f t="shared" si="25"/>
        <v>0</v>
      </c>
      <c r="AM69" s="140" t="s">
        <v>120</v>
      </c>
      <c r="AN69" s="143" t="s">
        <v>120</v>
      </c>
      <c r="AO69" s="144">
        <v>0</v>
      </c>
      <c r="AP69" s="148">
        <v>0</v>
      </c>
      <c r="AQ69" s="142">
        <f t="shared" si="26"/>
        <v>0</v>
      </c>
      <c r="AR69" s="140" t="s">
        <v>120</v>
      </c>
      <c r="AS69" s="143" t="s">
        <v>120</v>
      </c>
      <c r="AT69" s="144">
        <v>0</v>
      </c>
      <c r="AU69" s="149">
        <v>0</v>
      </c>
      <c r="AV69" s="145">
        <f t="shared" si="27"/>
        <v>0</v>
      </c>
      <c r="AW69" s="146"/>
      <c r="AX69" s="140" t="s">
        <v>120</v>
      </c>
      <c r="AY69" s="143" t="s">
        <v>120</v>
      </c>
      <c r="AZ69" s="144">
        <v>0</v>
      </c>
      <c r="BA69" s="149">
        <v>0</v>
      </c>
      <c r="BB69" s="145">
        <f t="shared" si="28"/>
        <v>0</v>
      </c>
      <c r="BC69" s="150"/>
      <c r="BD69" s="151">
        <f t="shared" si="29"/>
        <v>0</v>
      </c>
      <c r="BE69" s="152">
        <f t="shared" si="30"/>
        <v>0</v>
      </c>
      <c r="BF69" s="140" t="s">
        <v>120</v>
      </c>
      <c r="BG69" s="153" t="s">
        <v>120</v>
      </c>
      <c r="BH69" s="154" t="s">
        <v>120</v>
      </c>
      <c r="BI69" s="155" t="s">
        <v>120</v>
      </c>
      <c r="BJ69" s="156" t="s">
        <v>120</v>
      </c>
      <c r="BK69" s="157"/>
      <c r="BL69" s="158">
        <f>_xlfn.XLOOKUP(L69,[1]Auslegungsgrundlagen!$A$9:$A$100,[1]Auslegungsgrundlagen!$U$9:$U$100)</f>
        <v>30</v>
      </c>
      <c r="BM69" s="137">
        <v>0</v>
      </c>
      <c r="BN69" s="159">
        <v>0</v>
      </c>
      <c r="BO69" s="152">
        <f t="shared" si="31"/>
        <v>0.09</v>
      </c>
      <c r="BP69" s="140" t="s">
        <v>12</v>
      </c>
      <c r="BQ69" s="143">
        <f t="shared" ref="BQ69" si="43">BO69*1000</f>
        <v>90</v>
      </c>
      <c r="BR69" s="160">
        <v>1</v>
      </c>
      <c r="BS69" s="142">
        <f t="shared" si="33"/>
        <v>0.09</v>
      </c>
      <c r="BT69" s="140" t="s">
        <v>120</v>
      </c>
      <c r="BU69" s="143" t="s">
        <v>120</v>
      </c>
      <c r="BV69" s="160">
        <v>0</v>
      </c>
      <c r="BW69" s="145">
        <f t="shared" si="34"/>
        <v>0</v>
      </c>
      <c r="BX69" s="146"/>
      <c r="BY69" s="140" t="s">
        <v>120</v>
      </c>
      <c r="BZ69" s="143" t="s">
        <v>120</v>
      </c>
      <c r="CA69" s="160">
        <v>0</v>
      </c>
      <c r="CB69" s="145">
        <f t="shared" si="35"/>
        <v>0</v>
      </c>
      <c r="CC69" s="146"/>
      <c r="CD69" s="151">
        <f t="shared" si="36"/>
        <v>0.09</v>
      </c>
      <c r="CE69" s="161" t="s">
        <v>120</v>
      </c>
      <c r="CF69" s="162" t="s">
        <v>120</v>
      </c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ht="12.3">
      <c r="A70" s="128" t="s">
        <v>259</v>
      </c>
      <c r="B70" s="129">
        <v>3250</v>
      </c>
      <c r="C70" s="129">
        <v>5317</v>
      </c>
      <c r="D70" s="129"/>
      <c r="E70" s="129"/>
      <c r="F70" s="130"/>
      <c r="G70" s="131" t="s">
        <v>255</v>
      </c>
      <c r="H70" s="131" t="s">
        <v>120</v>
      </c>
      <c r="I70" s="131" t="s">
        <v>120</v>
      </c>
      <c r="J70" s="131" t="s">
        <v>260</v>
      </c>
      <c r="K70" s="131" t="s">
        <v>171</v>
      </c>
      <c r="L70" s="177">
        <v>10</v>
      </c>
      <c r="M70" s="131" t="str">
        <f>_xlfn.XLOOKUP(L70,[1]Auslegungsgrundlagen!$A$9:$A$100,[1]Auslegungsgrundlagen!$B$9:$B$100)</f>
        <v>Putzmittel/ Lager</v>
      </c>
      <c r="N70" s="132">
        <v>2</v>
      </c>
      <c r="O70" s="132">
        <v>4.75</v>
      </c>
      <c r="P70" s="133">
        <v>0</v>
      </c>
      <c r="Q70" s="134"/>
      <c r="R70" s="135">
        <f>_xlfn.XLOOKUP(L70,[1]Auslegungsgrundlagen!$A$9:$A$100,[1]Auslegungsgrundlagen!$M$9:$M$100)</f>
        <v>0</v>
      </c>
      <c r="S70" s="136">
        <f>_xlfn.XLOOKUP(L70,[1]Auslegungsgrundlagen!$A$9:$A$100,[1]Auslegungsgrundlagen!$Q$9:$Q$100)*P70</f>
        <v>0</v>
      </c>
      <c r="T70" s="137">
        <v>0</v>
      </c>
      <c r="U70" s="137">
        <v>0</v>
      </c>
      <c r="V70" s="138">
        <v>0</v>
      </c>
      <c r="W70" s="139">
        <f t="shared" si="21"/>
        <v>0</v>
      </c>
      <c r="X70" s="140" t="s">
        <v>120</v>
      </c>
      <c r="Y70" s="137" t="s">
        <v>120</v>
      </c>
      <c r="Z70" s="141">
        <v>0</v>
      </c>
      <c r="AA70" s="142">
        <f t="shared" si="22"/>
        <v>0</v>
      </c>
      <c r="AB70" s="140" t="s">
        <v>120</v>
      </c>
      <c r="AC70" s="143" t="s">
        <v>120</v>
      </c>
      <c r="AD70" s="144">
        <v>0</v>
      </c>
      <c r="AE70" s="145">
        <f t="shared" si="23"/>
        <v>0</v>
      </c>
      <c r="AF70" s="146"/>
      <c r="AG70" s="140" t="s">
        <v>120</v>
      </c>
      <c r="AH70" s="143" t="s">
        <v>120</v>
      </c>
      <c r="AI70" s="144">
        <v>0</v>
      </c>
      <c r="AJ70" s="145">
        <f t="shared" si="24"/>
        <v>0</v>
      </c>
      <c r="AK70" s="146"/>
      <c r="AL70" s="147">
        <f t="shared" si="25"/>
        <v>0</v>
      </c>
      <c r="AM70" s="140" t="s">
        <v>120</v>
      </c>
      <c r="AN70" s="143" t="s">
        <v>120</v>
      </c>
      <c r="AO70" s="144">
        <v>0</v>
      </c>
      <c r="AP70" s="148">
        <v>0</v>
      </c>
      <c r="AQ70" s="142">
        <f t="shared" si="26"/>
        <v>0</v>
      </c>
      <c r="AR70" s="140" t="s">
        <v>120</v>
      </c>
      <c r="AS70" s="143" t="s">
        <v>120</v>
      </c>
      <c r="AT70" s="144">
        <v>0</v>
      </c>
      <c r="AU70" s="149">
        <v>0</v>
      </c>
      <c r="AV70" s="145">
        <f t="shared" si="27"/>
        <v>0</v>
      </c>
      <c r="AW70" s="146"/>
      <c r="AX70" s="140" t="s">
        <v>120</v>
      </c>
      <c r="AY70" s="143" t="s">
        <v>120</v>
      </c>
      <c r="AZ70" s="144">
        <v>0</v>
      </c>
      <c r="BA70" s="149">
        <v>0</v>
      </c>
      <c r="BB70" s="145">
        <f t="shared" si="28"/>
        <v>0</v>
      </c>
      <c r="BC70" s="150"/>
      <c r="BD70" s="151">
        <f t="shared" si="29"/>
        <v>0</v>
      </c>
      <c r="BE70" s="152">
        <f t="shared" si="30"/>
        <v>0</v>
      </c>
      <c r="BF70" s="140" t="s">
        <v>120</v>
      </c>
      <c r="BG70" s="153" t="s">
        <v>120</v>
      </c>
      <c r="BH70" s="154" t="s">
        <v>120</v>
      </c>
      <c r="BI70" s="155" t="s">
        <v>120</v>
      </c>
      <c r="BJ70" s="156" t="s">
        <v>120</v>
      </c>
      <c r="BK70" s="157"/>
      <c r="BL70" s="158">
        <f>_xlfn.XLOOKUP(L70,[1]Auslegungsgrundlagen!$A$9:$A$100,[1]Auslegungsgrundlagen!$U$9:$U$100)</f>
        <v>15</v>
      </c>
      <c r="BM70" s="137">
        <v>0</v>
      </c>
      <c r="BN70" s="159">
        <v>0</v>
      </c>
      <c r="BO70" s="152">
        <f t="shared" si="31"/>
        <v>0.03</v>
      </c>
      <c r="BP70" s="140"/>
      <c r="BQ70" s="143"/>
      <c r="BR70" s="160"/>
      <c r="BS70" s="142">
        <f t="shared" si="33"/>
        <v>0</v>
      </c>
      <c r="BT70" s="140" t="s">
        <v>120</v>
      </c>
      <c r="BU70" s="143" t="s">
        <v>120</v>
      </c>
      <c r="BV70" s="160">
        <v>0</v>
      </c>
      <c r="BW70" s="145">
        <f t="shared" si="34"/>
        <v>0</v>
      </c>
      <c r="BX70" s="146"/>
      <c r="BY70" s="140" t="s">
        <v>120</v>
      </c>
      <c r="BZ70" s="143" t="s">
        <v>120</v>
      </c>
      <c r="CA70" s="160">
        <v>0</v>
      </c>
      <c r="CB70" s="145">
        <f t="shared" si="35"/>
        <v>0</v>
      </c>
      <c r="CC70" s="146"/>
      <c r="CD70" s="151">
        <f t="shared" si="36"/>
        <v>0</v>
      </c>
      <c r="CE70" s="161" t="s">
        <v>120</v>
      </c>
      <c r="CF70" s="162" t="s">
        <v>120</v>
      </c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ht="12.3">
      <c r="A71" s="128" t="s">
        <v>265</v>
      </c>
      <c r="B71" s="129">
        <v>3250</v>
      </c>
      <c r="C71" s="129">
        <v>5535</v>
      </c>
      <c r="D71" s="129"/>
      <c r="E71" s="129"/>
      <c r="F71" s="130"/>
      <c r="G71" s="131" t="s">
        <v>255</v>
      </c>
      <c r="H71" s="131" t="s">
        <v>120</v>
      </c>
      <c r="I71" s="131" t="s">
        <v>120</v>
      </c>
      <c r="J71" s="131" t="s">
        <v>266</v>
      </c>
      <c r="K71" s="131" t="s">
        <v>184</v>
      </c>
      <c r="L71" s="177">
        <v>8</v>
      </c>
      <c r="M71" s="131" t="str">
        <f>_xlfn.XLOOKUP(L71,[1]Auslegungsgrundlagen!$A$9:$A$100,[1]Auslegungsgrundlagen!$B$9:$B$100)</f>
        <v>WCs</v>
      </c>
      <c r="N71" s="132">
        <v>2</v>
      </c>
      <c r="O71" s="132">
        <v>5.3</v>
      </c>
      <c r="P71" s="133">
        <v>0</v>
      </c>
      <c r="Q71" s="134"/>
      <c r="R71" s="135">
        <f>_xlfn.XLOOKUP(L71,[1]Auslegungsgrundlagen!$A$9:$A$100,[1]Auslegungsgrundlagen!$M$9:$M$100)</f>
        <v>0</v>
      </c>
      <c r="S71" s="136">
        <f>_xlfn.XLOOKUP(L71,[1]Auslegungsgrundlagen!$A$9:$A$100,[1]Auslegungsgrundlagen!$Q$9:$Q$100)*P71</f>
        <v>0</v>
      </c>
      <c r="T71" s="137">
        <v>0</v>
      </c>
      <c r="U71" s="137">
        <v>0</v>
      </c>
      <c r="V71" s="138">
        <v>0</v>
      </c>
      <c r="W71" s="139">
        <f t="shared" si="21"/>
        <v>0</v>
      </c>
      <c r="X71" s="140" t="s">
        <v>120</v>
      </c>
      <c r="Y71" s="137" t="s">
        <v>120</v>
      </c>
      <c r="Z71" s="141">
        <v>0</v>
      </c>
      <c r="AA71" s="142">
        <f t="shared" si="22"/>
        <v>0</v>
      </c>
      <c r="AB71" s="140" t="s">
        <v>120</v>
      </c>
      <c r="AC71" s="143" t="s">
        <v>120</v>
      </c>
      <c r="AD71" s="144">
        <v>0</v>
      </c>
      <c r="AE71" s="145">
        <f t="shared" si="23"/>
        <v>0</v>
      </c>
      <c r="AF71" s="146"/>
      <c r="AG71" s="140" t="s">
        <v>120</v>
      </c>
      <c r="AH71" s="143" t="s">
        <v>120</v>
      </c>
      <c r="AI71" s="144">
        <v>0</v>
      </c>
      <c r="AJ71" s="145">
        <f t="shared" si="24"/>
        <v>0</v>
      </c>
      <c r="AK71" s="146"/>
      <c r="AL71" s="147">
        <f t="shared" si="25"/>
        <v>0</v>
      </c>
      <c r="AM71" s="140" t="s">
        <v>120</v>
      </c>
      <c r="AN71" s="143" t="s">
        <v>120</v>
      </c>
      <c r="AO71" s="144">
        <v>0</v>
      </c>
      <c r="AP71" s="148">
        <v>0</v>
      </c>
      <c r="AQ71" s="142">
        <f t="shared" si="26"/>
        <v>0</v>
      </c>
      <c r="AR71" s="140" t="s">
        <v>120</v>
      </c>
      <c r="AS71" s="143" t="s">
        <v>120</v>
      </c>
      <c r="AT71" s="144">
        <v>0</v>
      </c>
      <c r="AU71" s="149">
        <v>0</v>
      </c>
      <c r="AV71" s="145">
        <f t="shared" si="27"/>
        <v>0</v>
      </c>
      <c r="AW71" s="146"/>
      <c r="AX71" s="140" t="s">
        <v>120</v>
      </c>
      <c r="AY71" s="143" t="s">
        <v>120</v>
      </c>
      <c r="AZ71" s="144">
        <v>0</v>
      </c>
      <c r="BA71" s="149">
        <v>0</v>
      </c>
      <c r="BB71" s="145">
        <f t="shared" si="28"/>
        <v>0</v>
      </c>
      <c r="BC71" s="150"/>
      <c r="BD71" s="151">
        <f t="shared" si="29"/>
        <v>0</v>
      </c>
      <c r="BE71" s="152">
        <f t="shared" si="30"/>
        <v>0</v>
      </c>
      <c r="BF71" s="140" t="s">
        <v>120</v>
      </c>
      <c r="BG71" s="153" t="s">
        <v>120</v>
      </c>
      <c r="BH71" s="154" t="s">
        <v>120</v>
      </c>
      <c r="BI71" s="155" t="s">
        <v>120</v>
      </c>
      <c r="BJ71" s="156" t="s">
        <v>120</v>
      </c>
      <c r="BK71" s="157"/>
      <c r="BL71" s="158">
        <f>_xlfn.XLOOKUP(L71,[1]Auslegungsgrundlagen!$A$9:$A$100,[1]Auslegungsgrundlagen!$U$9:$U$100)</f>
        <v>30</v>
      </c>
      <c r="BM71" s="137">
        <v>0</v>
      </c>
      <c r="BN71" s="159">
        <v>0</v>
      </c>
      <c r="BO71" s="152">
        <f t="shared" si="31"/>
        <v>0.06</v>
      </c>
      <c r="BP71" s="140" t="s">
        <v>12</v>
      </c>
      <c r="BQ71" s="143"/>
      <c r="BR71" s="160"/>
      <c r="BS71" s="142">
        <f t="shared" si="33"/>
        <v>0</v>
      </c>
      <c r="BT71" s="140" t="s">
        <v>120</v>
      </c>
      <c r="BU71" s="143" t="s">
        <v>120</v>
      </c>
      <c r="BV71" s="160">
        <v>0</v>
      </c>
      <c r="BW71" s="145">
        <f t="shared" si="34"/>
        <v>0</v>
      </c>
      <c r="BX71" s="146"/>
      <c r="BY71" s="140" t="s">
        <v>120</v>
      </c>
      <c r="BZ71" s="143" t="s">
        <v>120</v>
      </c>
      <c r="CA71" s="160">
        <v>0</v>
      </c>
      <c r="CB71" s="145">
        <f t="shared" si="35"/>
        <v>0</v>
      </c>
      <c r="CC71" s="146"/>
      <c r="CD71" s="151">
        <f t="shared" si="36"/>
        <v>0</v>
      </c>
      <c r="CE71" s="161" t="s">
        <v>120</v>
      </c>
      <c r="CF71" s="162" t="s">
        <v>120</v>
      </c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ht="12.3">
      <c r="A72" s="128" t="s">
        <v>263</v>
      </c>
      <c r="B72" s="129">
        <v>3250</v>
      </c>
      <c r="C72" s="129">
        <v>7150</v>
      </c>
      <c r="D72" s="129"/>
      <c r="E72" s="129"/>
      <c r="F72" s="130"/>
      <c r="G72" s="131" t="s">
        <v>255</v>
      </c>
      <c r="H72" s="131" t="s">
        <v>120</v>
      </c>
      <c r="I72" s="131" t="s">
        <v>120</v>
      </c>
      <c r="J72" s="131" t="s">
        <v>264</v>
      </c>
      <c r="K72" s="131" t="s">
        <v>184</v>
      </c>
      <c r="L72" s="177">
        <v>8</v>
      </c>
      <c r="M72" s="131" t="str">
        <f>_xlfn.XLOOKUP(L72,[1]Auslegungsgrundlagen!$A$9:$A$100,[1]Auslegungsgrundlagen!$B$9:$B$100)</f>
        <v>WCs</v>
      </c>
      <c r="N72" s="132">
        <v>3</v>
      </c>
      <c r="O72" s="132">
        <v>9.58</v>
      </c>
      <c r="P72" s="133">
        <v>0</v>
      </c>
      <c r="Q72" s="134"/>
      <c r="R72" s="135">
        <f>_xlfn.XLOOKUP(L72,[1]Auslegungsgrundlagen!$A$9:$A$100,[1]Auslegungsgrundlagen!$M$9:$M$100)</f>
        <v>0</v>
      </c>
      <c r="S72" s="136">
        <f>_xlfn.XLOOKUP(L72,[1]Auslegungsgrundlagen!$A$9:$A$100,[1]Auslegungsgrundlagen!$Q$9:$Q$100)*P72</f>
        <v>0</v>
      </c>
      <c r="T72" s="137">
        <v>0</v>
      </c>
      <c r="U72" s="137">
        <v>0</v>
      </c>
      <c r="V72" s="138">
        <v>0</v>
      </c>
      <c r="W72" s="139">
        <f t="shared" si="21"/>
        <v>0</v>
      </c>
      <c r="X72" s="140" t="s">
        <v>120</v>
      </c>
      <c r="Y72" s="137" t="s">
        <v>120</v>
      </c>
      <c r="Z72" s="141">
        <v>0</v>
      </c>
      <c r="AA72" s="142">
        <f t="shared" si="22"/>
        <v>0</v>
      </c>
      <c r="AB72" s="140" t="s">
        <v>120</v>
      </c>
      <c r="AC72" s="143" t="s">
        <v>120</v>
      </c>
      <c r="AD72" s="144">
        <v>0</v>
      </c>
      <c r="AE72" s="145">
        <f t="shared" si="23"/>
        <v>0</v>
      </c>
      <c r="AF72" s="146"/>
      <c r="AG72" s="140" t="s">
        <v>120</v>
      </c>
      <c r="AH72" s="143" t="s">
        <v>120</v>
      </c>
      <c r="AI72" s="144">
        <v>0</v>
      </c>
      <c r="AJ72" s="145">
        <f t="shared" si="24"/>
        <v>0</v>
      </c>
      <c r="AK72" s="146"/>
      <c r="AL72" s="147">
        <f t="shared" si="25"/>
        <v>0</v>
      </c>
      <c r="AM72" s="140" t="s">
        <v>120</v>
      </c>
      <c r="AN72" s="143" t="s">
        <v>120</v>
      </c>
      <c r="AO72" s="144">
        <v>0</v>
      </c>
      <c r="AP72" s="148">
        <v>0</v>
      </c>
      <c r="AQ72" s="142">
        <f t="shared" si="26"/>
        <v>0</v>
      </c>
      <c r="AR72" s="140" t="s">
        <v>120</v>
      </c>
      <c r="AS72" s="143" t="s">
        <v>120</v>
      </c>
      <c r="AT72" s="144">
        <v>0</v>
      </c>
      <c r="AU72" s="149">
        <v>0</v>
      </c>
      <c r="AV72" s="145">
        <f t="shared" si="27"/>
        <v>0</v>
      </c>
      <c r="AW72" s="146"/>
      <c r="AX72" s="140" t="s">
        <v>120</v>
      </c>
      <c r="AY72" s="143" t="s">
        <v>120</v>
      </c>
      <c r="AZ72" s="144">
        <v>0</v>
      </c>
      <c r="BA72" s="149">
        <v>0</v>
      </c>
      <c r="BB72" s="145">
        <f t="shared" si="28"/>
        <v>0</v>
      </c>
      <c r="BC72" s="150"/>
      <c r="BD72" s="151">
        <f t="shared" si="29"/>
        <v>0</v>
      </c>
      <c r="BE72" s="152">
        <f t="shared" si="30"/>
        <v>0</v>
      </c>
      <c r="BF72" s="140" t="s">
        <v>120</v>
      </c>
      <c r="BG72" s="153" t="s">
        <v>120</v>
      </c>
      <c r="BH72" s="154" t="s">
        <v>120</v>
      </c>
      <c r="BI72" s="155" t="s">
        <v>120</v>
      </c>
      <c r="BJ72" s="156" t="s">
        <v>120</v>
      </c>
      <c r="BK72" s="157"/>
      <c r="BL72" s="158">
        <f>_xlfn.XLOOKUP(L72,[1]Auslegungsgrundlagen!$A$9:$A$100,[1]Auslegungsgrundlagen!$U$9:$U$100)</f>
        <v>30</v>
      </c>
      <c r="BM72" s="137">
        <v>0</v>
      </c>
      <c r="BN72" s="159">
        <v>0</v>
      </c>
      <c r="BO72" s="152">
        <f t="shared" si="31"/>
        <v>0.09</v>
      </c>
      <c r="BP72" s="140" t="s">
        <v>12</v>
      </c>
      <c r="BQ72" s="143">
        <v>150</v>
      </c>
      <c r="BR72" s="160">
        <v>1</v>
      </c>
      <c r="BS72" s="142">
        <f t="shared" si="33"/>
        <v>0.15</v>
      </c>
      <c r="BT72" s="140" t="s">
        <v>120</v>
      </c>
      <c r="BU72" s="143" t="s">
        <v>120</v>
      </c>
      <c r="BV72" s="160">
        <v>0</v>
      </c>
      <c r="BW72" s="145">
        <f t="shared" si="34"/>
        <v>0</v>
      </c>
      <c r="BX72" s="146"/>
      <c r="BY72" s="140" t="s">
        <v>120</v>
      </c>
      <c r="BZ72" s="143" t="s">
        <v>120</v>
      </c>
      <c r="CA72" s="160">
        <v>0</v>
      </c>
      <c r="CB72" s="145">
        <f t="shared" si="35"/>
        <v>0</v>
      </c>
      <c r="CC72" s="146"/>
      <c r="CD72" s="151">
        <f t="shared" si="36"/>
        <v>0.15</v>
      </c>
      <c r="CE72" s="161" t="s">
        <v>120</v>
      </c>
      <c r="CF72" s="162" t="s">
        <v>120</v>
      </c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ht="12.3">
      <c r="A73" s="128" t="s">
        <v>290</v>
      </c>
      <c r="B73" s="129">
        <v>3250</v>
      </c>
      <c r="C73" s="129">
        <v>34381</v>
      </c>
      <c r="D73" s="129"/>
      <c r="E73" s="129"/>
      <c r="F73" s="130"/>
      <c r="G73" s="131" t="s">
        <v>255</v>
      </c>
      <c r="H73" s="131" t="s">
        <v>120</v>
      </c>
      <c r="I73" s="131" t="s">
        <v>120</v>
      </c>
      <c r="J73" s="131" t="s">
        <v>291</v>
      </c>
      <c r="K73" s="131" t="s">
        <v>200</v>
      </c>
      <c r="L73" s="177">
        <v>17</v>
      </c>
      <c r="M73" s="131" t="str">
        <f>_xlfn.XLOOKUP(L73,[1]Auslegungsgrundlagen!$A$9:$A$100,[1]Auslegungsgrundlagen!$B$9:$B$100)</f>
        <v>Treppenhäuser/Magistrale</v>
      </c>
      <c r="N73" s="132">
        <v>41</v>
      </c>
      <c r="O73" s="132">
        <v>122.9</v>
      </c>
      <c r="P73" s="133">
        <v>0</v>
      </c>
      <c r="Q73" s="134"/>
      <c r="R73" s="135">
        <f>_xlfn.XLOOKUP(L73,[1]Auslegungsgrundlagen!$A$9:$A$100,[1]Auslegungsgrundlagen!$M$9:$M$100)</f>
        <v>0</v>
      </c>
      <c r="S73" s="136">
        <f>_xlfn.XLOOKUP(L73,[1]Auslegungsgrundlagen!$A$9:$A$100,[1]Auslegungsgrundlagen!$Q$9:$Q$100)*P73</f>
        <v>0</v>
      </c>
      <c r="T73" s="137">
        <v>0</v>
      </c>
      <c r="U73" s="137">
        <v>0</v>
      </c>
      <c r="V73" s="138">
        <v>0</v>
      </c>
      <c r="W73" s="139">
        <f t="shared" si="21"/>
        <v>0</v>
      </c>
      <c r="X73" s="140" t="s">
        <v>120</v>
      </c>
      <c r="Y73" s="137" t="s">
        <v>120</v>
      </c>
      <c r="Z73" s="141">
        <v>0</v>
      </c>
      <c r="AA73" s="142">
        <f t="shared" si="22"/>
        <v>0</v>
      </c>
      <c r="AB73" s="140" t="s">
        <v>120</v>
      </c>
      <c r="AC73" s="143" t="s">
        <v>120</v>
      </c>
      <c r="AD73" s="144">
        <v>0</v>
      </c>
      <c r="AE73" s="145">
        <f t="shared" si="23"/>
        <v>0</v>
      </c>
      <c r="AF73" s="146"/>
      <c r="AG73" s="140" t="s">
        <v>120</v>
      </c>
      <c r="AH73" s="143" t="s">
        <v>120</v>
      </c>
      <c r="AI73" s="144">
        <v>0</v>
      </c>
      <c r="AJ73" s="145">
        <f t="shared" si="24"/>
        <v>0</v>
      </c>
      <c r="AK73" s="146"/>
      <c r="AL73" s="147">
        <f t="shared" si="25"/>
        <v>0</v>
      </c>
      <c r="AM73" s="140" t="s">
        <v>120</v>
      </c>
      <c r="AN73" s="143" t="s">
        <v>120</v>
      </c>
      <c r="AO73" s="144">
        <v>0</v>
      </c>
      <c r="AP73" s="148">
        <v>0</v>
      </c>
      <c r="AQ73" s="142">
        <f t="shared" si="26"/>
        <v>0</v>
      </c>
      <c r="AR73" s="140" t="s">
        <v>120</v>
      </c>
      <c r="AS73" s="143" t="s">
        <v>120</v>
      </c>
      <c r="AT73" s="144">
        <v>0</v>
      </c>
      <c r="AU73" s="149">
        <v>0</v>
      </c>
      <c r="AV73" s="145">
        <f t="shared" si="27"/>
        <v>0</v>
      </c>
      <c r="AW73" s="146"/>
      <c r="AX73" s="140" t="s">
        <v>120</v>
      </c>
      <c r="AY73" s="143" t="s">
        <v>120</v>
      </c>
      <c r="AZ73" s="144">
        <v>0</v>
      </c>
      <c r="BA73" s="149">
        <v>0</v>
      </c>
      <c r="BB73" s="145">
        <f t="shared" si="28"/>
        <v>0</v>
      </c>
      <c r="BC73" s="150"/>
      <c r="BD73" s="151">
        <f t="shared" si="29"/>
        <v>0</v>
      </c>
      <c r="BE73" s="152">
        <f t="shared" si="30"/>
        <v>0</v>
      </c>
      <c r="BF73" s="140" t="s">
        <v>120</v>
      </c>
      <c r="BG73" s="153" t="s">
        <v>120</v>
      </c>
      <c r="BH73" s="154" t="s">
        <v>120</v>
      </c>
      <c r="BI73" s="155" t="s">
        <v>120</v>
      </c>
      <c r="BJ73" s="156" t="s">
        <v>120</v>
      </c>
      <c r="BK73" s="157"/>
      <c r="BL73" s="158">
        <f>_xlfn.XLOOKUP(L73,[1]Auslegungsgrundlagen!$A$9:$A$100,[1]Auslegungsgrundlagen!$U$9:$U$100)</f>
        <v>25</v>
      </c>
      <c r="BM73" s="137">
        <v>0</v>
      </c>
      <c r="BN73" s="159">
        <v>0</v>
      </c>
      <c r="BO73" s="152">
        <f t="shared" si="31"/>
        <v>1.03</v>
      </c>
      <c r="BP73" s="140" t="s">
        <v>12</v>
      </c>
      <c r="BQ73" s="143">
        <f t="shared" ref="BQ73" si="44">BO73*1000</f>
        <v>1030</v>
      </c>
      <c r="BR73" s="160">
        <v>1</v>
      </c>
      <c r="BS73" s="142">
        <f t="shared" si="33"/>
        <v>1.03</v>
      </c>
      <c r="BT73" s="140" t="s">
        <v>120</v>
      </c>
      <c r="BU73" s="143" t="s">
        <v>120</v>
      </c>
      <c r="BV73" s="160">
        <v>0</v>
      </c>
      <c r="BW73" s="145">
        <f t="shared" si="34"/>
        <v>0</v>
      </c>
      <c r="BX73" s="146"/>
      <c r="BY73" s="140" t="s">
        <v>120</v>
      </c>
      <c r="BZ73" s="143" t="s">
        <v>120</v>
      </c>
      <c r="CA73" s="160">
        <v>0</v>
      </c>
      <c r="CB73" s="145">
        <f t="shared" si="35"/>
        <v>0</v>
      </c>
      <c r="CC73" s="146"/>
      <c r="CD73" s="151">
        <f t="shared" si="36"/>
        <v>1.03</v>
      </c>
      <c r="CE73" s="161" t="s">
        <v>120</v>
      </c>
      <c r="CF73" s="162" t="s">
        <v>120</v>
      </c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ht="12.3">
      <c r="A74" s="128" t="s">
        <v>288</v>
      </c>
      <c r="B74" s="129">
        <v>3250</v>
      </c>
      <c r="C74" s="129">
        <v>7060</v>
      </c>
      <c r="D74" s="129"/>
      <c r="E74" s="129"/>
      <c r="F74" s="130"/>
      <c r="G74" s="131" t="s">
        <v>255</v>
      </c>
      <c r="H74" s="131" t="s">
        <v>120</v>
      </c>
      <c r="I74" s="131" t="s">
        <v>120</v>
      </c>
      <c r="J74" s="131" t="s">
        <v>289</v>
      </c>
      <c r="K74" s="131" t="s">
        <v>168</v>
      </c>
      <c r="L74" s="177">
        <v>18</v>
      </c>
      <c r="M74" s="131" t="str">
        <f>_xlfn.XLOOKUP(L74,[1]Auslegungsgrundlagen!$A$9:$A$100,[1]Auslegungsgrundlagen!$B$9:$B$100)</f>
        <v>Schächte</v>
      </c>
      <c r="N74" s="132">
        <v>3</v>
      </c>
      <c r="O74" s="132">
        <v>9.2799999999999994</v>
      </c>
      <c r="P74" s="133">
        <v>0</v>
      </c>
      <c r="Q74" s="134"/>
      <c r="R74" s="135">
        <f>_xlfn.XLOOKUP(L74,[1]Auslegungsgrundlagen!$A$9:$A$100,[1]Auslegungsgrundlagen!$M$9:$M$100)</f>
        <v>0</v>
      </c>
      <c r="S74" s="136">
        <f>_xlfn.XLOOKUP(L74,[1]Auslegungsgrundlagen!$A$9:$A$100,[1]Auslegungsgrundlagen!$Q$9:$Q$100)*P74</f>
        <v>0</v>
      </c>
      <c r="T74" s="137">
        <v>0</v>
      </c>
      <c r="U74" s="137">
        <v>0</v>
      </c>
      <c r="V74" s="138">
        <v>0</v>
      </c>
      <c r="W74" s="139">
        <f t="shared" si="21"/>
        <v>0</v>
      </c>
      <c r="X74" s="140" t="s">
        <v>120</v>
      </c>
      <c r="Y74" s="137" t="s">
        <v>120</v>
      </c>
      <c r="Z74" s="141">
        <v>0</v>
      </c>
      <c r="AA74" s="142">
        <f t="shared" si="22"/>
        <v>0</v>
      </c>
      <c r="AB74" s="140" t="s">
        <v>120</v>
      </c>
      <c r="AC74" s="143" t="s">
        <v>120</v>
      </c>
      <c r="AD74" s="144">
        <v>0</v>
      </c>
      <c r="AE74" s="145">
        <f t="shared" si="23"/>
        <v>0</v>
      </c>
      <c r="AF74" s="146"/>
      <c r="AG74" s="140" t="s">
        <v>120</v>
      </c>
      <c r="AH74" s="143" t="s">
        <v>120</v>
      </c>
      <c r="AI74" s="144">
        <v>0</v>
      </c>
      <c r="AJ74" s="145">
        <f t="shared" si="24"/>
        <v>0</v>
      </c>
      <c r="AK74" s="146"/>
      <c r="AL74" s="147">
        <f t="shared" si="25"/>
        <v>0</v>
      </c>
      <c r="AM74" s="140" t="s">
        <v>120</v>
      </c>
      <c r="AN74" s="143" t="s">
        <v>120</v>
      </c>
      <c r="AO74" s="144">
        <v>0</v>
      </c>
      <c r="AP74" s="148">
        <v>0</v>
      </c>
      <c r="AQ74" s="142">
        <f t="shared" si="26"/>
        <v>0</v>
      </c>
      <c r="AR74" s="140" t="s">
        <v>120</v>
      </c>
      <c r="AS74" s="143" t="s">
        <v>120</v>
      </c>
      <c r="AT74" s="144">
        <v>0</v>
      </c>
      <c r="AU74" s="149">
        <v>0</v>
      </c>
      <c r="AV74" s="145">
        <f t="shared" si="27"/>
        <v>0</v>
      </c>
      <c r="AW74" s="146"/>
      <c r="AX74" s="140" t="s">
        <v>120</v>
      </c>
      <c r="AY74" s="143" t="s">
        <v>120</v>
      </c>
      <c r="AZ74" s="144">
        <v>0</v>
      </c>
      <c r="BA74" s="149">
        <v>0</v>
      </c>
      <c r="BB74" s="145">
        <f t="shared" si="28"/>
        <v>0</v>
      </c>
      <c r="BC74" s="150"/>
      <c r="BD74" s="151">
        <f t="shared" si="29"/>
        <v>0</v>
      </c>
      <c r="BE74" s="152">
        <f t="shared" si="30"/>
        <v>0</v>
      </c>
      <c r="BF74" s="140" t="s">
        <v>120</v>
      </c>
      <c r="BG74" s="153" t="s">
        <v>120</v>
      </c>
      <c r="BH74" s="154" t="s">
        <v>120</v>
      </c>
      <c r="BI74" s="155" t="s">
        <v>120</v>
      </c>
      <c r="BJ74" s="156" t="s">
        <v>120</v>
      </c>
      <c r="BK74" s="157"/>
      <c r="BL74" s="158">
        <f>_xlfn.XLOOKUP(L74,[1]Auslegungsgrundlagen!$A$9:$A$100,[1]Auslegungsgrundlagen!$U$9:$U$100)</f>
        <v>0</v>
      </c>
      <c r="BM74" s="137">
        <v>0</v>
      </c>
      <c r="BN74" s="159">
        <v>0</v>
      </c>
      <c r="BO74" s="152">
        <f t="shared" si="31"/>
        <v>0</v>
      </c>
      <c r="BP74" s="140" t="s">
        <v>120</v>
      </c>
      <c r="BQ74" s="143" t="s">
        <v>120</v>
      </c>
      <c r="BR74" s="160">
        <v>0</v>
      </c>
      <c r="BS74" s="142">
        <f t="shared" si="33"/>
        <v>0</v>
      </c>
      <c r="BT74" s="140" t="s">
        <v>120</v>
      </c>
      <c r="BU74" s="143" t="s">
        <v>120</v>
      </c>
      <c r="BV74" s="160">
        <v>0</v>
      </c>
      <c r="BW74" s="145">
        <f t="shared" si="34"/>
        <v>0</v>
      </c>
      <c r="BX74" s="146"/>
      <c r="BY74" s="140" t="s">
        <v>120</v>
      </c>
      <c r="BZ74" s="143" t="s">
        <v>120</v>
      </c>
      <c r="CA74" s="160">
        <v>0</v>
      </c>
      <c r="CB74" s="145">
        <f t="shared" si="35"/>
        <v>0</v>
      </c>
      <c r="CC74" s="146"/>
      <c r="CD74" s="151">
        <f t="shared" si="36"/>
        <v>0</v>
      </c>
      <c r="CE74" s="161" t="s">
        <v>120</v>
      </c>
      <c r="CF74" s="162" t="s">
        <v>120</v>
      </c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ht="12.3">
      <c r="A75" s="128" t="s">
        <v>286</v>
      </c>
      <c r="B75" s="129">
        <v>3250</v>
      </c>
      <c r="C75" s="129">
        <v>6840</v>
      </c>
      <c r="D75" s="129"/>
      <c r="E75" s="129"/>
      <c r="F75" s="130"/>
      <c r="G75" s="131" t="s">
        <v>255</v>
      </c>
      <c r="H75" s="131" t="s">
        <v>120</v>
      </c>
      <c r="I75" s="131" t="s">
        <v>120</v>
      </c>
      <c r="J75" s="131" t="s">
        <v>287</v>
      </c>
      <c r="K75" s="131" t="s">
        <v>177</v>
      </c>
      <c r="L75" s="177">
        <v>14</v>
      </c>
      <c r="M75" s="131" t="str">
        <f>_xlfn.XLOOKUP(L75,[1]Auslegungsgrundlagen!$A$9:$A$100,[1]Auslegungsgrundlagen!$B$9:$B$100)</f>
        <v>ELT-Schacht</v>
      </c>
      <c r="N75" s="132">
        <v>3</v>
      </c>
      <c r="O75" s="132">
        <v>8.75</v>
      </c>
      <c r="P75" s="133">
        <v>0</v>
      </c>
      <c r="Q75" s="134"/>
      <c r="R75" s="135">
        <f>_xlfn.XLOOKUP(L75,[1]Auslegungsgrundlagen!$A$9:$A$100,[1]Auslegungsgrundlagen!$M$9:$M$100)</f>
        <v>0</v>
      </c>
      <c r="S75" s="136">
        <f>_xlfn.XLOOKUP(L75,[1]Auslegungsgrundlagen!$A$9:$A$100,[1]Auslegungsgrundlagen!$Q$9:$Q$100)*P75</f>
        <v>0</v>
      </c>
      <c r="T75" s="137">
        <v>0</v>
      </c>
      <c r="U75" s="137">
        <v>0</v>
      </c>
      <c r="V75" s="138">
        <v>0</v>
      </c>
      <c r="W75" s="139">
        <f t="shared" ref="W75:W106" si="45">ROUND(IF(V75&lt;0,V75*(-1)/1000,IF(U75&lt;&gt;0,U75/1000,(R75*N75+S75+T75)/1000)),2)</f>
        <v>0</v>
      </c>
      <c r="X75" s="140" t="s">
        <v>120</v>
      </c>
      <c r="Y75" s="137" t="s">
        <v>120</v>
      </c>
      <c r="Z75" s="141">
        <v>0</v>
      </c>
      <c r="AA75" s="142">
        <f t="shared" ref="AA75:AA106" si="46">(IF(Y75="",0,Y75)*IF(Z75="",0,Z75))/1000</f>
        <v>0</v>
      </c>
      <c r="AB75" s="140" t="s">
        <v>120</v>
      </c>
      <c r="AC75" s="143" t="s">
        <v>120</v>
      </c>
      <c r="AD75" s="144">
        <v>0</v>
      </c>
      <c r="AE75" s="145">
        <f t="shared" ref="AE75:AE106" si="47">(IF(AC75="",0,AC75)*IF(AD75="",0,AD75))/1000</f>
        <v>0</v>
      </c>
      <c r="AF75" s="146"/>
      <c r="AG75" s="140" t="s">
        <v>120</v>
      </c>
      <c r="AH75" s="143" t="s">
        <v>120</v>
      </c>
      <c r="AI75" s="144">
        <v>0</v>
      </c>
      <c r="AJ75" s="145">
        <f t="shared" ref="AJ75:AJ106" si="48">(IF(AH75="",0,AH75)*IF(AI75="",0,AI75))/1000</f>
        <v>0</v>
      </c>
      <c r="AK75" s="146"/>
      <c r="AL75" s="147">
        <f t="shared" ref="AL75:AL106" si="49">IF(AA75="",0,AA75)+IF(AE75="",0,AE75)+IF(AJ75="",0,AJ75)</f>
        <v>0</v>
      </c>
      <c r="AM75" s="140" t="s">
        <v>120</v>
      </c>
      <c r="AN75" s="143" t="s">
        <v>120</v>
      </c>
      <c r="AO75" s="144">
        <v>0</v>
      </c>
      <c r="AP75" s="148">
        <v>0</v>
      </c>
      <c r="AQ75" s="142">
        <f t="shared" ref="AQ75:AQ106" si="50">(IF(AN75="",0,AN75)*IF(AO75="",0,AO75)*IF(AP75="",0,AP75))/1000</f>
        <v>0</v>
      </c>
      <c r="AR75" s="140" t="s">
        <v>120</v>
      </c>
      <c r="AS75" s="143" t="s">
        <v>120</v>
      </c>
      <c r="AT75" s="144">
        <v>0</v>
      </c>
      <c r="AU75" s="149">
        <v>0</v>
      </c>
      <c r="AV75" s="145">
        <f t="shared" ref="AV75:AV106" si="51">(IF(AS75="",0,AS75)*IF(AT75="",0,AT75)*IF(AU75="",0,AU75))/1000</f>
        <v>0</v>
      </c>
      <c r="AW75" s="146"/>
      <c r="AX75" s="140" t="s">
        <v>120</v>
      </c>
      <c r="AY75" s="143" t="s">
        <v>120</v>
      </c>
      <c r="AZ75" s="144">
        <v>0</v>
      </c>
      <c r="BA75" s="149">
        <v>0</v>
      </c>
      <c r="BB75" s="145">
        <f t="shared" ref="BB75:BB106" si="52">(IF(AY75="",0,AY75)*IF(AZ75="",0,AZ75)*IF(BA75="",0,BA75))/1000</f>
        <v>0</v>
      </c>
      <c r="BC75" s="150"/>
      <c r="BD75" s="151">
        <f t="shared" ref="BD75:BD106" si="53">IF(AQ75="",0,AQ75)+IF(AV75="",0,AV75)+IF(BB75="",0,BB75)</f>
        <v>0</v>
      </c>
      <c r="BE75" s="152">
        <f t="shared" ref="BE75:BE106" si="54">(BD75+AL75)</f>
        <v>0</v>
      </c>
      <c r="BF75" s="140" t="s">
        <v>120</v>
      </c>
      <c r="BG75" s="153" t="s">
        <v>120</v>
      </c>
      <c r="BH75" s="154" t="s">
        <v>120</v>
      </c>
      <c r="BI75" s="155" t="s">
        <v>120</v>
      </c>
      <c r="BJ75" s="156" t="s">
        <v>120</v>
      </c>
      <c r="BK75" s="157"/>
      <c r="BL75" s="158">
        <f>_xlfn.XLOOKUP(L75,[1]Auslegungsgrundlagen!$A$9:$A$100,[1]Auslegungsgrundlagen!$U$9:$U$100)</f>
        <v>0</v>
      </c>
      <c r="BM75" s="137">
        <v>0</v>
      </c>
      <c r="BN75" s="159">
        <v>0</v>
      </c>
      <c r="BO75" s="152">
        <f t="shared" ref="BO75:BO106" si="55">ROUND(IF(BN75&gt;0,BN75/1000,IF(BM75&gt;0,BM75/1000,BL75*N75/1000)),2)</f>
        <v>0</v>
      </c>
      <c r="BP75" s="140" t="s">
        <v>120</v>
      </c>
      <c r="BQ75" s="143" t="s">
        <v>120</v>
      </c>
      <c r="BR75" s="160">
        <v>0</v>
      </c>
      <c r="BS75" s="142">
        <f t="shared" ref="BS75:BS106" si="56">(IF(BQ75="",0,BQ75)*IF(BR75="",0,BR75))/1000</f>
        <v>0</v>
      </c>
      <c r="BT75" s="140" t="s">
        <v>120</v>
      </c>
      <c r="BU75" s="143" t="s">
        <v>120</v>
      </c>
      <c r="BV75" s="160">
        <v>0</v>
      </c>
      <c r="BW75" s="145">
        <f t="shared" ref="BW75:BW106" si="57">(IF(BU75="",0,BU75)*IF(BV75="",0,BV75))/1000</f>
        <v>0</v>
      </c>
      <c r="BX75" s="146"/>
      <c r="BY75" s="140" t="s">
        <v>120</v>
      </c>
      <c r="BZ75" s="143" t="s">
        <v>120</v>
      </c>
      <c r="CA75" s="160">
        <v>0</v>
      </c>
      <c r="CB75" s="145">
        <f t="shared" ref="CB75:CB106" si="58">(IF(BZ75="",0,BZ75)*IF(CA75="",0,CA75))/1000</f>
        <v>0</v>
      </c>
      <c r="CC75" s="146"/>
      <c r="CD75" s="151">
        <f t="shared" ref="CD75:CD106" si="59">IF(BS75="",0,BS75)+IF(BW75="",0,BW75)+IF(CB75="",0,CB75)</f>
        <v>0</v>
      </c>
      <c r="CE75" s="161" t="s">
        <v>120</v>
      </c>
      <c r="CF75" s="162" t="s">
        <v>120</v>
      </c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ht="12.3">
      <c r="A76" s="128" t="s">
        <v>463</v>
      </c>
      <c r="B76" s="129">
        <v>3250</v>
      </c>
      <c r="C76" s="129">
        <v>35510</v>
      </c>
      <c r="D76" s="129"/>
      <c r="E76" s="129"/>
      <c r="F76" s="130"/>
      <c r="G76" s="131" t="s">
        <v>302</v>
      </c>
      <c r="H76" s="131" t="s">
        <v>120</v>
      </c>
      <c r="I76" s="131" t="s">
        <v>120</v>
      </c>
      <c r="J76" s="131" t="s">
        <v>464</v>
      </c>
      <c r="K76" s="131" t="s">
        <v>251</v>
      </c>
      <c r="L76" s="177">
        <v>1</v>
      </c>
      <c r="M76" s="131" t="str">
        <f>_xlfn.XLOOKUP(L76,[1]Auslegungsgrundlagen!$A$9:$A$100,[1]Auslegungsgrundlagen!$B$9:$B$100)</f>
        <v>Flex-/ Co-Work/</v>
      </c>
      <c r="N76" s="132">
        <v>49</v>
      </c>
      <c r="O76" s="132">
        <v>146.13</v>
      </c>
      <c r="P76" s="133">
        <v>0</v>
      </c>
      <c r="Q76" s="134"/>
      <c r="R76" s="135">
        <f>_xlfn.XLOOKUP(L76,[1]Auslegungsgrundlagen!$A$9:$A$100,[1]Auslegungsgrundlagen!$M$9:$M$100)</f>
        <v>50</v>
      </c>
      <c r="S76" s="136">
        <f>_xlfn.XLOOKUP(L76,[1]Auslegungsgrundlagen!$A$9:$A$100,[1]Auslegungsgrundlagen!$Q$9:$Q$100)*P76</f>
        <v>0</v>
      </c>
      <c r="T76" s="137">
        <v>0</v>
      </c>
      <c r="U76" s="137">
        <v>0</v>
      </c>
      <c r="V76" s="138">
        <v>0</v>
      </c>
      <c r="W76" s="139">
        <f t="shared" si="45"/>
        <v>2.4500000000000002</v>
      </c>
      <c r="X76" s="140" t="s">
        <v>481</v>
      </c>
      <c r="Y76" s="137">
        <f t="shared" ref="Y76:Y87" si="60">W76*1000</f>
        <v>2450</v>
      </c>
      <c r="Z76" s="141">
        <v>1</v>
      </c>
      <c r="AA76" s="142">
        <f t="shared" si="46"/>
        <v>2.4500000000000002</v>
      </c>
      <c r="AB76" s="140" t="s">
        <v>120</v>
      </c>
      <c r="AC76" s="143" t="s">
        <v>120</v>
      </c>
      <c r="AD76" s="144">
        <v>0</v>
      </c>
      <c r="AE76" s="145">
        <f t="shared" si="47"/>
        <v>0</v>
      </c>
      <c r="AF76" s="146"/>
      <c r="AG76" s="140" t="s">
        <v>120</v>
      </c>
      <c r="AH76" s="143" t="s">
        <v>120</v>
      </c>
      <c r="AI76" s="144">
        <v>0</v>
      </c>
      <c r="AJ76" s="145">
        <f t="shared" si="48"/>
        <v>0</v>
      </c>
      <c r="AK76" s="146"/>
      <c r="AL76" s="147">
        <f t="shared" si="49"/>
        <v>2.4500000000000002</v>
      </c>
      <c r="AM76" s="140" t="s">
        <v>120</v>
      </c>
      <c r="AN76" s="143" t="s">
        <v>120</v>
      </c>
      <c r="AO76" s="144">
        <v>0</v>
      </c>
      <c r="AP76" s="148">
        <v>0</v>
      </c>
      <c r="AQ76" s="142">
        <f t="shared" si="50"/>
        <v>0</v>
      </c>
      <c r="AR76" s="140" t="s">
        <v>120</v>
      </c>
      <c r="AS76" s="143" t="s">
        <v>120</v>
      </c>
      <c r="AT76" s="144">
        <v>0</v>
      </c>
      <c r="AU76" s="149">
        <v>0</v>
      </c>
      <c r="AV76" s="145">
        <f t="shared" si="51"/>
        <v>0</v>
      </c>
      <c r="AW76" s="146"/>
      <c r="AX76" s="140" t="s">
        <v>120</v>
      </c>
      <c r="AY76" s="143" t="s">
        <v>120</v>
      </c>
      <c r="AZ76" s="144">
        <v>0</v>
      </c>
      <c r="BA76" s="149">
        <v>0</v>
      </c>
      <c r="BB76" s="145">
        <f t="shared" si="52"/>
        <v>0</v>
      </c>
      <c r="BC76" s="150"/>
      <c r="BD76" s="151">
        <f t="shared" si="53"/>
        <v>0</v>
      </c>
      <c r="BE76" s="152">
        <f t="shared" si="54"/>
        <v>2.4500000000000002</v>
      </c>
      <c r="BF76" s="140" t="s">
        <v>120</v>
      </c>
      <c r="BG76" s="153" t="s">
        <v>120</v>
      </c>
      <c r="BH76" s="154" t="s">
        <v>120</v>
      </c>
      <c r="BI76" s="155" t="s">
        <v>120</v>
      </c>
      <c r="BJ76" s="156" t="s">
        <v>120</v>
      </c>
      <c r="BK76" s="157"/>
      <c r="BL76" s="158">
        <f>_xlfn.XLOOKUP(L76,[1]Auslegungsgrundlagen!$A$9:$A$100,[1]Auslegungsgrundlagen!$U$9:$U$100)</f>
        <v>40</v>
      </c>
      <c r="BM76" s="137">
        <v>0</v>
      </c>
      <c r="BN76" s="159">
        <v>0</v>
      </c>
      <c r="BO76" s="152">
        <f t="shared" si="55"/>
        <v>1.96</v>
      </c>
      <c r="BP76" s="140" t="s">
        <v>481</v>
      </c>
      <c r="BQ76" s="143">
        <f t="shared" ref="BQ76:BQ87" si="61">BO76*1000</f>
        <v>1960</v>
      </c>
      <c r="BR76" s="160">
        <v>1</v>
      </c>
      <c r="BS76" s="142">
        <f t="shared" si="56"/>
        <v>1.96</v>
      </c>
      <c r="BT76" s="140" t="s">
        <v>120</v>
      </c>
      <c r="BU76" s="143" t="s">
        <v>120</v>
      </c>
      <c r="BV76" s="160">
        <v>0</v>
      </c>
      <c r="BW76" s="145">
        <f t="shared" si="57"/>
        <v>0</v>
      </c>
      <c r="BX76" s="146"/>
      <c r="BY76" s="140" t="s">
        <v>120</v>
      </c>
      <c r="BZ76" s="143" t="s">
        <v>120</v>
      </c>
      <c r="CA76" s="160">
        <v>0</v>
      </c>
      <c r="CB76" s="145">
        <f t="shared" si="58"/>
        <v>0</v>
      </c>
      <c r="CC76" s="146"/>
      <c r="CD76" s="151">
        <f t="shared" si="59"/>
        <v>1.96</v>
      </c>
      <c r="CE76" s="161" t="s">
        <v>120</v>
      </c>
      <c r="CF76" s="162" t="s">
        <v>120</v>
      </c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ht="12.3">
      <c r="A77" s="128" t="s">
        <v>344</v>
      </c>
      <c r="B77" s="129">
        <v>3250</v>
      </c>
      <c r="C77" s="129">
        <v>32340</v>
      </c>
      <c r="D77" s="129"/>
      <c r="E77" s="129"/>
      <c r="F77" s="130"/>
      <c r="G77" s="131" t="s">
        <v>302</v>
      </c>
      <c r="H77" s="131" t="s">
        <v>120</v>
      </c>
      <c r="I77" s="131" t="s">
        <v>120</v>
      </c>
      <c r="J77" s="131" t="s">
        <v>345</v>
      </c>
      <c r="K77" s="131" t="s">
        <v>346</v>
      </c>
      <c r="L77" s="177">
        <v>1</v>
      </c>
      <c r="M77" s="131" t="str">
        <f>_xlfn.XLOOKUP(L77,[1]Auslegungsgrundlagen!$A$9:$A$100,[1]Auslegungsgrundlagen!$B$9:$B$100)</f>
        <v>Flex-/ Co-Work/</v>
      </c>
      <c r="N77" s="132">
        <v>64</v>
      </c>
      <c r="O77" s="132">
        <v>192.7</v>
      </c>
      <c r="P77" s="133">
        <v>0</v>
      </c>
      <c r="Q77" s="134"/>
      <c r="R77" s="135">
        <f>_xlfn.XLOOKUP(L77,[1]Auslegungsgrundlagen!$A$9:$A$100,[1]Auslegungsgrundlagen!$M$9:$M$100)</f>
        <v>50</v>
      </c>
      <c r="S77" s="136">
        <f>_xlfn.XLOOKUP(L77,[1]Auslegungsgrundlagen!$A$9:$A$100,[1]Auslegungsgrundlagen!$Q$9:$Q$100)*P77</f>
        <v>0</v>
      </c>
      <c r="T77" s="137">
        <v>0</v>
      </c>
      <c r="U77" s="137">
        <v>0</v>
      </c>
      <c r="V77" s="138">
        <v>0</v>
      </c>
      <c r="W77" s="139">
        <f t="shared" si="45"/>
        <v>3.2</v>
      </c>
      <c r="X77" s="140" t="s">
        <v>481</v>
      </c>
      <c r="Y77" s="137">
        <f t="shared" si="60"/>
        <v>3200</v>
      </c>
      <c r="Z77" s="141">
        <v>1</v>
      </c>
      <c r="AA77" s="142">
        <f t="shared" si="46"/>
        <v>3.2</v>
      </c>
      <c r="AB77" s="140" t="s">
        <v>120</v>
      </c>
      <c r="AC77" s="143" t="s">
        <v>120</v>
      </c>
      <c r="AD77" s="144">
        <v>0</v>
      </c>
      <c r="AE77" s="145">
        <f t="shared" si="47"/>
        <v>0</v>
      </c>
      <c r="AF77" s="146"/>
      <c r="AG77" s="140" t="s">
        <v>120</v>
      </c>
      <c r="AH77" s="143" t="s">
        <v>120</v>
      </c>
      <c r="AI77" s="144">
        <v>0</v>
      </c>
      <c r="AJ77" s="145">
        <f t="shared" si="48"/>
        <v>0</v>
      </c>
      <c r="AK77" s="146"/>
      <c r="AL77" s="147">
        <f t="shared" si="49"/>
        <v>3.2</v>
      </c>
      <c r="AM77" s="140" t="s">
        <v>120</v>
      </c>
      <c r="AN77" s="143" t="s">
        <v>120</v>
      </c>
      <c r="AO77" s="144">
        <v>0</v>
      </c>
      <c r="AP77" s="148">
        <v>0</v>
      </c>
      <c r="AQ77" s="142">
        <f t="shared" si="50"/>
        <v>0</v>
      </c>
      <c r="AR77" s="140" t="s">
        <v>120</v>
      </c>
      <c r="AS77" s="143" t="s">
        <v>120</v>
      </c>
      <c r="AT77" s="144">
        <v>0</v>
      </c>
      <c r="AU77" s="149">
        <v>0</v>
      </c>
      <c r="AV77" s="145">
        <f t="shared" si="51"/>
        <v>0</v>
      </c>
      <c r="AW77" s="146"/>
      <c r="AX77" s="140" t="s">
        <v>120</v>
      </c>
      <c r="AY77" s="143" t="s">
        <v>120</v>
      </c>
      <c r="AZ77" s="144">
        <v>0</v>
      </c>
      <c r="BA77" s="149">
        <v>0</v>
      </c>
      <c r="BB77" s="145">
        <f t="shared" si="52"/>
        <v>0</v>
      </c>
      <c r="BC77" s="150"/>
      <c r="BD77" s="151">
        <f t="shared" si="53"/>
        <v>0</v>
      </c>
      <c r="BE77" s="152">
        <f t="shared" si="54"/>
        <v>3.2</v>
      </c>
      <c r="BF77" s="140" t="s">
        <v>120</v>
      </c>
      <c r="BG77" s="153" t="s">
        <v>120</v>
      </c>
      <c r="BH77" s="154" t="s">
        <v>120</v>
      </c>
      <c r="BI77" s="155" t="s">
        <v>120</v>
      </c>
      <c r="BJ77" s="156" t="s">
        <v>120</v>
      </c>
      <c r="BK77" s="157"/>
      <c r="BL77" s="158">
        <f>_xlfn.XLOOKUP(L77,[1]Auslegungsgrundlagen!$A$9:$A$100,[1]Auslegungsgrundlagen!$U$9:$U$100)</f>
        <v>40</v>
      </c>
      <c r="BM77" s="137">
        <v>0</v>
      </c>
      <c r="BN77" s="159">
        <v>0</v>
      </c>
      <c r="BO77" s="152">
        <f t="shared" si="55"/>
        <v>2.56</v>
      </c>
      <c r="BP77" s="140" t="s">
        <v>481</v>
      </c>
      <c r="BQ77" s="143">
        <f t="shared" si="61"/>
        <v>2560</v>
      </c>
      <c r="BR77" s="160">
        <v>1</v>
      </c>
      <c r="BS77" s="142">
        <f t="shared" si="56"/>
        <v>2.56</v>
      </c>
      <c r="BT77" s="140" t="s">
        <v>120</v>
      </c>
      <c r="BU77" s="143" t="s">
        <v>120</v>
      </c>
      <c r="BV77" s="160">
        <v>0</v>
      </c>
      <c r="BW77" s="145">
        <f t="shared" si="57"/>
        <v>0</v>
      </c>
      <c r="BX77" s="146"/>
      <c r="BY77" s="140" t="s">
        <v>120</v>
      </c>
      <c r="BZ77" s="143" t="s">
        <v>120</v>
      </c>
      <c r="CA77" s="160">
        <v>0</v>
      </c>
      <c r="CB77" s="145">
        <f t="shared" si="58"/>
        <v>0</v>
      </c>
      <c r="CC77" s="146"/>
      <c r="CD77" s="151">
        <f t="shared" si="59"/>
        <v>2.56</v>
      </c>
      <c r="CE77" s="161" t="s">
        <v>120</v>
      </c>
      <c r="CF77" s="162" t="s">
        <v>120</v>
      </c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ht="12.3">
      <c r="A78" s="128" t="s">
        <v>467</v>
      </c>
      <c r="B78" s="129">
        <v>3250</v>
      </c>
      <c r="C78" s="129">
        <v>37264</v>
      </c>
      <c r="D78" s="129"/>
      <c r="E78" s="129"/>
      <c r="F78" s="130"/>
      <c r="G78" s="131" t="s">
        <v>302</v>
      </c>
      <c r="H78" s="131" t="s">
        <v>120</v>
      </c>
      <c r="I78" s="131" t="s">
        <v>120</v>
      </c>
      <c r="J78" s="131" t="s">
        <v>468</v>
      </c>
      <c r="K78" s="131" t="s">
        <v>469</v>
      </c>
      <c r="L78" s="177">
        <v>1</v>
      </c>
      <c r="M78" s="131" t="str">
        <f>_xlfn.XLOOKUP(L78,[1]Auslegungsgrundlagen!$A$9:$A$100,[1]Auslegungsgrundlagen!$B$9:$B$100)</f>
        <v>Flex-/ Co-Work/</v>
      </c>
      <c r="N78" s="132">
        <v>86</v>
      </c>
      <c r="O78" s="132">
        <v>259.48</v>
      </c>
      <c r="P78" s="133">
        <v>0</v>
      </c>
      <c r="Q78" s="134"/>
      <c r="R78" s="135">
        <f>_xlfn.XLOOKUP(L78,[1]Auslegungsgrundlagen!$A$9:$A$100,[1]Auslegungsgrundlagen!$M$9:$M$100)</f>
        <v>50</v>
      </c>
      <c r="S78" s="136">
        <f>_xlfn.XLOOKUP(L78,[1]Auslegungsgrundlagen!$A$9:$A$100,[1]Auslegungsgrundlagen!$Q$9:$Q$100)*P78</f>
        <v>0</v>
      </c>
      <c r="T78" s="137">
        <v>0</v>
      </c>
      <c r="U78" s="137">
        <v>0</v>
      </c>
      <c r="V78" s="138">
        <v>0</v>
      </c>
      <c r="W78" s="139">
        <f t="shared" si="45"/>
        <v>4.3</v>
      </c>
      <c r="X78" s="140" t="s">
        <v>481</v>
      </c>
      <c r="Y78" s="137">
        <f t="shared" si="60"/>
        <v>4300</v>
      </c>
      <c r="Z78" s="141">
        <v>1</v>
      </c>
      <c r="AA78" s="142">
        <f t="shared" si="46"/>
        <v>4.3</v>
      </c>
      <c r="AB78" s="140" t="s">
        <v>120</v>
      </c>
      <c r="AC78" s="143" t="s">
        <v>120</v>
      </c>
      <c r="AD78" s="144">
        <v>0</v>
      </c>
      <c r="AE78" s="145">
        <f t="shared" si="47"/>
        <v>0</v>
      </c>
      <c r="AF78" s="146"/>
      <c r="AG78" s="140" t="s">
        <v>120</v>
      </c>
      <c r="AH78" s="143" t="s">
        <v>120</v>
      </c>
      <c r="AI78" s="144">
        <v>0</v>
      </c>
      <c r="AJ78" s="145">
        <f t="shared" si="48"/>
        <v>0</v>
      </c>
      <c r="AK78" s="146"/>
      <c r="AL78" s="147">
        <f t="shared" si="49"/>
        <v>4.3</v>
      </c>
      <c r="AM78" s="140" t="s">
        <v>120</v>
      </c>
      <c r="AN78" s="143" t="s">
        <v>120</v>
      </c>
      <c r="AO78" s="144">
        <v>0</v>
      </c>
      <c r="AP78" s="148">
        <v>0</v>
      </c>
      <c r="AQ78" s="142">
        <f t="shared" si="50"/>
        <v>0</v>
      </c>
      <c r="AR78" s="140" t="s">
        <v>120</v>
      </c>
      <c r="AS78" s="143" t="s">
        <v>120</v>
      </c>
      <c r="AT78" s="144">
        <v>0</v>
      </c>
      <c r="AU78" s="149">
        <v>0</v>
      </c>
      <c r="AV78" s="145">
        <f t="shared" si="51"/>
        <v>0</v>
      </c>
      <c r="AW78" s="146"/>
      <c r="AX78" s="140" t="s">
        <v>120</v>
      </c>
      <c r="AY78" s="143" t="s">
        <v>120</v>
      </c>
      <c r="AZ78" s="144">
        <v>0</v>
      </c>
      <c r="BA78" s="149">
        <v>0</v>
      </c>
      <c r="BB78" s="145">
        <f t="shared" si="52"/>
        <v>0</v>
      </c>
      <c r="BC78" s="150"/>
      <c r="BD78" s="151">
        <f t="shared" si="53"/>
        <v>0</v>
      </c>
      <c r="BE78" s="152">
        <f t="shared" si="54"/>
        <v>4.3</v>
      </c>
      <c r="BF78" s="140" t="s">
        <v>120</v>
      </c>
      <c r="BG78" s="153" t="s">
        <v>120</v>
      </c>
      <c r="BH78" s="154" t="s">
        <v>120</v>
      </c>
      <c r="BI78" s="155" t="s">
        <v>120</v>
      </c>
      <c r="BJ78" s="156" t="s">
        <v>120</v>
      </c>
      <c r="BK78" s="157"/>
      <c r="BL78" s="158">
        <f>_xlfn.XLOOKUP(L78,[1]Auslegungsgrundlagen!$A$9:$A$100,[1]Auslegungsgrundlagen!$U$9:$U$100)</f>
        <v>40</v>
      </c>
      <c r="BM78" s="137">
        <v>0</v>
      </c>
      <c r="BN78" s="159">
        <v>0</v>
      </c>
      <c r="BO78" s="152">
        <f t="shared" si="55"/>
        <v>3.44</v>
      </c>
      <c r="BP78" s="140" t="s">
        <v>481</v>
      </c>
      <c r="BQ78" s="143">
        <f t="shared" si="61"/>
        <v>3440</v>
      </c>
      <c r="BR78" s="160">
        <v>1</v>
      </c>
      <c r="BS78" s="142">
        <f t="shared" si="56"/>
        <v>3.44</v>
      </c>
      <c r="BT78" s="140" t="s">
        <v>120</v>
      </c>
      <c r="BU78" s="143" t="s">
        <v>120</v>
      </c>
      <c r="BV78" s="160">
        <v>0</v>
      </c>
      <c r="BW78" s="145">
        <f t="shared" si="57"/>
        <v>0</v>
      </c>
      <c r="BX78" s="146"/>
      <c r="BY78" s="140" t="s">
        <v>120</v>
      </c>
      <c r="BZ78" s="143" t="s">
        <v>120</v>
      </c>
      <c r="CA78" s="160">
        <v>0</v>
      </c>
      <c r="CB78" s="145">
        <f t="shared" si="58"/>
        <v>0</v>
      </c>
      <c r="CC78" s="146"/>
      <c r="CD78" s="151">
        <f t="shared" si="59"/>
        <v>3.44</v>
      </c>
      <c r="CE78" s="161" t="s">
        <v>120</v>
      </c>
      <c r="CF78" s="162" t="s">
        <v>120</v>
      </c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ht="12.3">
      <c r="A79" s="128" t="s">
        <v>331</v>
      </c>
      <c r="B79" s="129">
        <v>3250</v>
      </c>
      <c r="C79" s="129">
        <v>12060</v>
      </c>
      <c r="D79" s="129"/>
      <c r="E79" s="129"/>
      <c r="F79" s="130"/>
      <c r="G79" s="131" t="s">
        <v>302</v>
      </c>
      <c r="H79" s="131" t="s">
        <v>120</v>
      </c>
      <c r="I79" s="131" t="s">
        <v>120</v>
      </c>
      <c r="J79" s="131" t="s">
        <v>332</v>
      </c>
      <c r="K79" s="131" t="s">
        <v>230</v>
      </c>
      <c r="L79" s="177">
        <v>2</v>
      </c>
      <c r="M79" s="131" t="str">
        <f>_xlfn.XLOOKUP(L79,[1]Auslegungsgrundlagen!$A$9:$A$100,[1]Auslegungsgrundlagen!$B$9:$B$100)</f>
        <v>Einzel-/Zweierbüros</v>
      </c>
      <c r="N79" s="132">
        <v>8</v>
      </c>
      <c r="O79" s="132">
        <v>24.51</v>
      </c>
      <c r="P79" s="133">
        <v>0</v>
      </c>
      <c r="Q79" s="134"/>
      <c r="R79" s="135">
        <f>_xlfn.XLOOKUP(L79,[1]Auslegungsgrundlagen!$A$9:$A$100,[1]Auslegungsgrundlagen!$M$9:$M$100)</f>
        <v>50</v>
      </c>
      <c r="S79" s="136">
        <f>_xlfn.XLOOKUP(L79,[1]Auslegungsgrundlagen!$A$9:$A$100,[1]Auslegungsgrundlagen!$Q$9:$Q$100)*P79</f>
        <v>0</v>
      </c>
      <c r="T79" s="137">
        <v>0</v>
      </c>
      <c r="U79" s="137">
        <v>0</v>
      </c>
      <c r="V79" s="138">
        <v>0</v>
      </c>
      <c r="W79" s="139">
        <f t="shared" si="45"/>
        <v>0.4</v>
      </c>
      <c r="X79" s="140" t="s">
        <v>481</v>
      </c>
      <c r="Y79" s="137">
        <f t="shared" si="60"/>
        <v>400</v>
      </c>
      <c r="Z79" s="141">
        <v>1</v>
      </c>
      <c r="AA79" s="142">
        <f t="shared" si="46"/>
        <v>0.4</v>
      </c>
      <c r="AB79" s="140" t="s">
        <v>120</v>
      </c>
      <c r="AC79" s="143" t="s">
        <v>120</v>
      </c>
      <c r="AD79" s="144">
        <v>0</v>
      </c>
      <c r="AE79" s="145">
        <f t="shared" si="47"/>
        <v>0</v>
      </c>
      <c r="AF79" s="146"/>
      <c r="AG79" s="140" t="s">
        <v>120</v>
      </c>
      <c r="AH79" s="143" t="s">
        <v>120</v>
      </c>
      <c r="AI79" s="144">
        <v>0</v>
      </c>
      <c r="AJ79" s="145">
        <f t="shared" si="48"/>
        <v>0</v>
      </c>
      <c r="AK79" s="146"/>
      <c r="AL79" s="147">
        <f t="shared" si="49"/>
        <v>0.4</v>
      </c>
      <c r="AM79" s="140" t="s">
        <v>120</v>
      </c>
      <c r="AN79" s="143" t="s">
        <v>120</v>
      </c>
      <c r="AO79" s="144">
        <v>0</v>
      </c>
      <c r="AP79" s="148">
        <v>0</v>
      </c>
      <c r="AQ79" s="142">
        <f t="shared" si="50"/>
        <v>0</v>
      </c>
      <c r="AR79" s="140" t="s">
        <v>120</v>
      </c>
      <c r="AS79" s="143" t="s">
        <v>120</v>
      </c>
      <c r="AT79" s="144">
        <v>0</v>
      </c>
      <c r="AU79" s="149">
        <v>0</v>
      </c>
      <c r="AV79" s="145">
        <f t="shared" si="51"/>
        <v>0</v>
      </c>
      <c r="AW79" s="146"/>
      <c r="AX79" s="140" t="s">
        <v>120</v>
      </c>
      <c r="AY79" s="143" t="s">
        <v>120</v>
      </c>
      <c r="AZ79" s="144">
        <v>0</v>
      </c>
      <c r="BA79" s="149">
        <v>0</v>
      </c>
      <c r="BB79" s="145">
        <f t="shared" si="52"/>
        <v>0</v>
      </c>
      <c r="BC79" s="150"/>
      <c r="BD79" s="151">
        <f t="shared" si="53"/>
        <v>0</v>
      </c>
      <c r="BE79" s="152">
        <f t="shared" si="54"/>
        <v>0.4</v>
      </c>
      <c r="BF79" s="140" t="s">
        <v>120</v>
      </c>
      <c r="BG79" s="153" t="s">
        <v>120</v>
      </c>
      <c r="BH79" s="154" t="s">
        <v>120</v>
      </c>
      <c r="BI79" s="155" t="s">
        <v>120</v>
      </c>
      <c r="BJ79" s="156" t="s">
        <v>120</v>
      </c>
      <c r="BK79" s="157"/>
      <c r="BL79" s="158">
        <f>_xlfn.XLOOKUP(L79,[1]Auslegungsgrundlagen!$A$9:$A$100,[1]Auslegungsgrundlagen!$U$9:$U$100)</f>
        <v>40</v>
      </c>
      <c r="BM79" s="137">
        <v>0</v>
      </c>
      <c r="BN79" s="159">
        <v>0</v>
      </c>
      <c r="BO79" s="152">
        <f t="shared" si="55"/>
        <v>0.32</v>
      </c>
      <c r="BP79" s="140" t="s">
        <v>481</v>
      </c>
      <c r="BQ79" s="143">
        <f t="shared" si="61"/>
        <v>320</v>
      </c>
      <c r="BR79" s="160">
        <v>1</v>
      </c>
      <c r="BS79" s="142">
        <f t="shared" si="56"/>
        <v>0.32</v>
      </c>
      <c r="BT79" s="140" t="s">
        <v>120</v>
      </c>
      <c r="BU79" s="143" t="s">
        <v>120</v>
      </c>
      <c r="BV79" s="160">
        <v>0</v>
      </c>
      <c r="BW79" s="145">
        <f t="shared" si="57"/>
        <v>0</v>
      </c>
      <c r="BX79" s="146"/>
      <c r="BY79" s="140" t="s">
        <v>120</v>
      </c>
      <c r="BZ79" s="143" t="s">
        <v>120</v>
      </c>
      <c r="CA79" s="160">
        <v>0</v>
      </c>
      <c r="CB79" s="145">
        <f t="shared" si="58"/>
        <v>0</v>
      </c>
      <c r="CC79" s="146"/>
      <c r="CD79" s="151">
        <f t="shared" si="59"/>
        <v>0.32</v>
      </c>
      <c r="CE79" s="161" t="s">
        <v>120</v>
      </c>
      <c r="CF79" s="162" t="s">
        <v>120</v>
      </c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ht="12.3">
      <c r="A80" s="128" t="s">
        <v>316</v>
      </c>
      <c r="B80" s="129">
        <v>3250</v>
      </c>
      <c r="C80" s="129">
        <v>12150</v>
      </c>
      <c r="D80" s="129"/>
      <c r="E80" s="129"/>
      <c r="F80" s="130"/>
      <c r="G80" s="131" t="s">
        <v>302</v>
      </c>
      <c r="H80" s="131" t="s">
        <v>120</v>
      </c>
      <c r="I80" s="131" t="s">
        <v>120</v>
      </c>
      <c r="J80" s="131" t="s">
        <v>317</v>
      </c>
      <c r="K80" s="131" t="s">
        <v>230</v>
      </c>
      <c r="L80" s="177">
        <v>2</v>
      </c>
      <c r="M80" s="131" t="str">
        <f>_xlfn.XLOOKUP(L80,[1]Auslegungsgrundlagen!$A$9:$A$100,[1]Auslegungsgrundlagen!$B$9:$B$100)</f>
        <v>Einzel-/Zweierbüros</v>
      </c>
      <c r="N80" s="132">
        <v>8</v>
      </c>
      <c r="O80" s="132">
        <v>25.04</v>
      </c>
      <c r="P80" s="133">
        <v>0</v>
      </c>
      <c r="Q80" s="134"/>
      <c r="R80" s="135">
        <f>_xlfn.XLOOKUP(L80,[1]Auslegungsgrundlagen!$A$9:$A$100,[1]Auslegungsgrundlagen!$M$9:$M$100)</f>
        <v>50</v>
      </c>
      <c r="S80" s="136">
        <f>_xlfn.XLOOKUP(L80,[1]Auslegungsgrundlagen!$A$9:$A$100,[1]Auslegungsgrundlagen!$Q$9:$Q$100)*P80</f>
        <v>0</v>
      </c>
      <c r="T80" s="137">
        <v>0</v>
      </c>
      <c r="U80" s="137">
        <v>0</v>
      </c>
      <c r="V80" s="138">
        <v>0</v>
      </c>
      <c r="W80" s="139">
        <f t="shared" si="45"/>
        <v>0.4</v>
      </c>
      <c r="X80" s="140" t="s">
        <v>481</v>
      </c>
      <c r="Y80" s="137">
        <f t="shared" si="60"/>
        <v>400</v>
      </c>
      <c r="Z80" s="141">
        <v>1</v>
      </c>
      <c r="AA80" s="142">
        <f t="shared" si="46"/>
        <v>0.4</v>
      </c>
      <c r="AB80" s="140" t="s">
        <v>120</v>
      </c>
      <c r="AC80" s="143" t="s">
        <v>120</v>
      </c>
      <c r="AD80" s="144">
        <v>0</v>
      </c>
      <c r="AE80" s="145">
        <f t="shared" si="47"/>
        <v>0</v>
      </c>
      <c r="AF80" s="146"/>
      <c r="AG80" s="140" t="s">
        <v>120</v>
      </c>
      <c r="AH80" s="143" t="s">
        <v>120</v>
      </c>
      <c r="AI80" s="144">
        <v>0</v>
      </c>
      <c r="AJ80" s="145">
        <f t="shared" si="48"/>
        <v>0</v>
      </c>
      <c r="AK80" s="146"/>
      <c r="AL80" s="147">
        <f t="shared" si="49"/>
        <v>0.4</v>
      </c>
      <c r="AM80" s="140" t="s">
        <v>120</v>
      </c>
      <c r="AN80" s="143" t="s">
        <v>120</v>
      </c>
      <c r="AO80" s="144">
        <v>0</v>
      </c>
      <c r="AP80" s="148">
        <v>0</v>
      </c>
      <c r="AQ80" s="142">
        <f t="shared" si="50"/>
        <v>0</v>
      </c>
      <c r="AR80" s="140" t="s">
        <v>120</v>
      </c>
      <c r="AS80" s="143" t="s">
        <v>120</v>
      </c>
      <c r="AT80" s="144">
        <v>0</v>
      </c>
      <c r="AU80" s="149">
        <v>0</v>
      </c>
      <c r="AV80" s="145">
        <f t="shared" si="51"/>
        <v>0</v>
      </c>
      <c r="AW80" s="146"/>
      <c r="AX80" s="140" t="s">
        <v>120</v>
      </c>
      <c r="AY80" s="143" t="s">
        <v>120</v>
      </c>
      <c r="AZ80" s="144">
        <v>0</v>
      </c>
      <c r="BA80" s="149">
        <v>0</v>
      </c>
      <c r="BB80" s="145">
        <f t="shared" si="52"/>
        <v>0</v>
      </c>
      <c r="BC80" s="150"/>
      <c r="BD80" s="151">
        <f t="shared" si="53"/>
        <v>0</v>
      </c>
      <c r="BE80" s="152">
        <f t="shared" si="54"/>
        <v>0.4</v>
      </c>
      <c r="BF80" s="140" t="s">
        <v>120</v>
      </c>
      <c r="BG80" s="153" t="s">
        <v>120</v>
      </c>
      <c r="BH80" s="154" t="s">
        <v>120</v>
      </c>
      <c r="BI80" s="155" t="s">
        <v>120</v>
      </c>
      <c r="BJ80" s="156" t="s">
        <v>120</v>
      </c>
      <c r="BK80" s="157"/>
      <c r="BL80" s="158">
        <f>_xlfn.XLOOKUP(L80,[1]Auslegungsgrundlagen!$A$9:$A$100,[1]Auslegungsgrundlagen!$U$9:$U$100)</f>
        <v>40</v>
      </c>
      <c r="BM80" s="137">
        <v>0</v>
      </c>
      <c r="BN80" s="159">
        <v>0</v>
      </c>
      <c r="BO80" s="152">
        <f t="shared" si="55"/>
        <v>0.32</v>
      </c>
      <c r="BP80" s="140" t="s">
        <v>481</v>
      </c>
      <c r="BQ80" s="143">
        <f t="shared" si="61"/>
        <v>320</v>
      </c>
      <c r="BR80" s="160">
        <v>1</v>
      </c>
      <c r="BS80" s="142">
        <f t="shared" si="56"/>
        <v>0.32</v>
      </c>
      <c r="BT80" s="140" t="s">
        <v>120</v>
      </c>
      <c r="BU80" s="143" t="s">
        <v>120</v>
      </c>
      <c r="BV80" s="160">
        <v>0</v>
      </c>
      <c r="BW80" s="145">
        <f t="shared" si="57"/>
        <v>0</v>
      </c>
      <c r="BX80" s="146"/>
      <c r="BY80" s="140" t="s">
        <v>120</v>
      </c>
      <c r="BZ80" s="143" t="s">
        <v>120</v>
      </c>
      <c r="CA80" s="160">
        <v>0</v>
      </c>
      <c r="CB80" s="145">
        <f t="shared" si="58"/>
        <v>0</v>
      </c>
      <c r="CC80" s="146"/>
      <c r="CD80" s="151">
        <f t="shared" si="59"/>
        <v>0.32</v>
      </c>
      <c r="CE80" s="161" t="s">
        <v>120</v>
      </c>
      <c r="CF80" s="162" t="s">
        <v>120</v>
      </c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ht="12.3">
      <c r="A81" s="128" t="s">
        <v>323</v>
      </c>
      <c r="B81" s="129">
        <v>3250</v>
      </c>
      <c r="C81" s="129">
        <v>12050</v>
      </c>
      <c r="D81" s="129"/>
      <c r="E81" s="129"/>
      <c r="F81" s="130"/>
      <c r="G81" s="131" t="s">
        <v>302</v>
      </c>
      <c r="H81" s="131" t="s">
        <v>120</v>
      </c>
      <c r="I81" s="131" t="s">
        <v>120</v>
      </c>
      <c r="J81" s="131" t="s">
        <v>324</v>
      </c>
      <c r="K81" s="131" t="s">
        <v>230</v>
      </c>
      <c r="L81" s="177">
        <v>2</v>
      </c>
      <c r="M81" s="131" t="str">
        <f>_xlfn.XLOOKUP(L81,[1]Auslegungsgrundlagen!$A$9:$A$100,[1]Auslegungsgrundlagen!$B$9:$B$100)</f>
        <v>Einzel-/Zweierbüros</v>
      </c>
      <c r="N81" s="132">
        <v>8</v>
      </c>
      <c r="O81" s="132">
        <v>24.73</v>
      </c>
      <c r="P81" s="133">
        <v>0</v>
      </c>
      <c r="Q81" s="134"/>
      <c r="R81" s="135">
        <f>_xlfn.XLOOKUP(L81,[1]Auslegungsgrundlagen!$A$9:$A$100,[1]Auslegungsgrundlagen!$M$9:$M$100)</f>
        <v>50</v>
      </c>
      <c r="S81" s="136">
        <f>_xlfn.XLOOKUP(L81,[1]Auslegungsgrundlagen!$A$9:$A$100,[1]Auslegungsgrundlagen!$Q$9:$Q$100)*P81</f>
        <v>0</v>
      </c>
      <c r="T81" s="137">
        <v>0</v>
      </c>
      <c r="U81" s="137">
        <v>0</v>
      </c>
      <c r="V81" s="138">
        <v>0</v>
      </c>
      <c r="W81" s="139">
        <f t="shared" si="45"/>
        <v>0.4</v>
      </c>
      <c r="X81" s="140" t="s">
        <v>481</v>
      </c>
      <c r="Y81" s="137">
        <f t="shared" si="60"/>
        <v>400</v>
      </c>
      <c r="Z81" s="141">
        <v>1</v>
      </c>
      <c r="AA81" s="142">
        <f t="shared" si="46"/>
        <v>0.4</v>
      </c>
      <c r="AB81" s="140" t="s">
        <v>120</v>
      </c>
      <c r="AC81" s="143" t="s">
        <v>120</v>
      </c>
      <c r="AD81" s="144">
        <v>0</v>
      </c>
      <c r="AE81" s="145">
        <f t="shared" si="47"/>
        <v>0</v>
      </c>
      <c r="AF81" s="146"/>
      <c r="AG81" s="140" t="s">
        <v>120</v>
      </c>
      <c r="AH81" s="143" t="s">
        <v>120</v>
      </c>
      <c r="AI81" s="144">
        <v>0</v>
      </c>
      <c r="AJ81" s="145">
        <f t="shared" si="48"/>
        <v>0</v>
      </c>
      <c r="AK81" s="146"/>
      <c r="AL81" s="147">
        <f t="shared" si="49"/>
        <v>0.4</v>
      </c>
      <c r="AM81" s="140" t="s">
        <v>120</v>
      </c>
      <c r="AN81" s="143" t="s">
        <v>120</v>
      </c>
      <c r="AO81" s="144">
        <v>0</v>
      </c>
      <c r="AP81" s="148">
        <v>0</v>
      </c>
      <c r="AQ81" s="142">
        <f t="shared" si="50"/>
        <v>0</v>
      </c>
      <c r="AR81" s="140" t="s">
        <v>120</v>
      </c>
      <c r="AS81" s="143" t="s">
        <v>120</v>
      </c>
      <c r="AT81" s="144">
        <v>0</v>
      </c>
      <c r="AU81" s="149">
        <v>0</v>
      </c>
      <c r="AV81" s="145">
        <f t="shared" si="51"/>
        <v>0</v>
      </c>
      <c r="AW81" s="146"/>
      <c r="AX81" s="140" t="s">
        <v>120</v>
      </c>
      <c r="AY81" s="143" t="s">
        <v>120</v>
      </c>
      <c r="AZ81" s="144">
        <v>0</v>
      </c>
      <c r="BA81" s="149">
        <v>0</v>
      </c>
      <c r="BB81" s="145">
        <f t="shared" si="52"/>
        <v>0</v>
      </c>
      <c r="BC81" s="150"/>
      <c r="BD81" s="151">
        <f t="shared" si="53"/>
        <v>0</v>
      </c>
      <c r="BE81" s="152">
        <f t="shared" si="54"/>
        <v>0.4</v>
      </c>
      <c r="BF81" s="140" t="s">
        <v>120</v>
      </c>
      <c r="BG81" s="153" t="s">
        <v>120</v>
      </c>
      <c r="BH81" s="154" t="s">
        <v>120</v>
      </c>
      <c r="BI81" s="155" t="s">
        <v>120</v>
      </c>
      <c r="BJ81" s="156" t="s">
        <v>120</v>
      </c>
      <c r="BK81" s="157"/>
      <c r="BL81" s="158">
        <f>_xlfn.XLOOKUP(L81,[1]Auslegungsgrundlagen!$A$9:$A$100,[1]Auslegungsgrundlagen!$U$9:$U$100)</f>
        <v>40</v>
      </c>
      <c r="BM81" s="137">
        <v>0</v>
      </c>
      <c r="BN81" s="159">
        <v>0</v>
      </c>
      <c r="BO81" s="152">
        <f t="shared" si="55"/>
        <v>0.32</v>
      </c>
      <c r="BP81" s="140" t="s">
        <v>481</v>
      </c>
      <c r="BQ81" s="143">
        <f t="shared" si="61"/>
        <v>320</v>
      </c>
      <c r="BR81" s="160">
        <v>1</v>
      </c>
      <c r="BS81" s="142">
        <f t="shared" si="56"/>
        <v>0.32</v>
      </c>
      <c r="BT81" s="140" t="s">
        <v>120</v>
      </c>
      <c r="BU81" s="143" t="s">
        <v>120</v>
      </c>
      <c r="BV81" s="160">
        <v>0</v>
      </c>
      <c r="BW81" s="145">
        <f t="shared" si="57"/>
        <v>0</v>
      </c>
      <c r="BX81" s="146"/>
      <c r="BY81" s="140" t="s">
        <v>120</v>
      </c>
      <c r="BZ81" s="143" t="s">
        <v>120</v>
      </c>
      <c r="CA81" s="160">
        <v>0</v>
      </c>
      <c r="CB81" s="145">
        <f t="shared" si="58"/>
        <v>0</v>
      </c>
      <c r="CC81" s="146"/>
      <c r="CD81" s="151">
        <f t="shared" si="59"/>
        <v>0.32</v>
      </c>
      <c r="CE81" s="161" t="s">
        <v>120</v>
      </c>
      <c r="CF81" s="162" t="s">
        <v>120</v>
      </c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ht="12.3">
      <c r="A82" s="128" t="s">
        <v>314</v>
      </c>
      <c r="B82" s="129">
        <v>3250</v>
      </c>
      <c r="C82" s="129">
        <v>12150</v>
      </c>
      <c r="D82" s="129"/>
      <c r="E82" s="129"/>
      <c r="F82" s="130"/>
      <c r="G82" s="131" t="s">
        <v>302</v>
      </c>
      <c r="H82" s="131" t="s">
        <v>120</v>
      </c>
      <c r="I82" s="131" t="s">
        <v>120</v>
      </c>
      <c r="J82" s="131" t="s">
        <v>315</v>
      </c>
      <c r="K82" s="131" t="s">
        <v>230</v>
      </c>
      <c r="L82" s="177">
        <v>2</v>
      </c>
      <c r="M82" s="131" t="str">
        <f>_xlfn.XLOOKUP(L82,[1]Auslegungsgrundlagen!$A$9:$A$100,[1]Auslegungsgrundlagen!$B$9:$B$100)</f>
        <v>Einzel-/Zweierbüros</v>
      </c>
      <c r="N82" s="132">
        <v>8</v>
      </c>
      <c r="O82" s="132">
        <v>25.04</v>
      </c>
      <c r="P82" s="133">
        <v>0</v>
      </c>
      <c r="Q82" s="134"/>
      <c r="R82" s="135">
        <f>_xlfn.XLOOKUP(L82,[1]Auslegungsgrundlagen!$A$9:$A$100,[1]Auslegungsgrundlagen!$M$9:$M$100)</f>
        <v>50</v>
      </c>
      <c r="S82" s="136">
        <f>_xlfn.XLOOKUP(L82,[1]Auslegungsgrundlagen!$A$9:$A$100,[1]Auslegungsgrundlagen!$Q$9:$Q$100)*P82</f>
        <v>0</v>
      </c>
      <c r="T82" s="137">
        <v>0</v>
      </c>
      <c r="U82" s="137">
        <v>0</v>
      </c>
      <c r="V82" s="138">
        <v>0</v>
      </c>
      <c r="W82" s="139">
        <f t="shared" si="45"/>
        <v>0.4</v>
      </c>
      <c r="X82" s="140" t="s">
        <v>481</v>
      </c>
      <c r="Y82" s="137">
        <f t="shared" si="60"/>
        <v>400</v>
      </c>
      <c r="Z82" s="141">
        <v>1</v>
      </c>
      <c r="AA82" s="142">
        <f t="shared" si="46"/>
        <v>0.4</v>
      </c>
      <c r="AB82" s="140" t="s">
        <v>120</v>
      </c>
      <c r="AC82" s="143" t="s">
        <v>120</v>
      </c>
      <c r="AD82" s="144">
        <v>0</v>
      </c>
      <c r="AE82" s="145">
        <f t="shared" si="47"/>
        <v>0</v>
      </c>
      <c r="AF82" s="146"/>
      <c r="AG82" s="140" t="s">
        <v>120</v>
      </c>
      <c r="AH82" s="143" t="s">
        <v>120</v>
      </c>
      <c r="AI82" s="144">
        <v>0</v>
      </c>
      <c r="AJ82" s="145">
        <f t="shared" si="48"/>
        <v>0</v>
      </c>
      <c r="AK82" s="146"/>
      <c r="AL82" s="147">
        <f t="shared" si="49"/>
        <v>0.4</v>
      </c>
      <c r="AM82" s="140" t="s">
        <v>120</v>
      </c>
      <c r="AN82" s="143" t="s">
        <v>120</v>
      </c>
      <c r="AO82" s="144">
        <v>0</v>
      </c>
      <c r="AP82" s="148">
        <v>0</v>
      </c>
      <c r="AQ82" s="142">
        <f t="shared" si="50"/>
        <v>0</v>
      </c>
      <c r="AR82" s="140" t="s">
        <v>120</v>
      </c>
      <c r="AS82" s="143" t="s">
        <v>120</v>
      </c>
      <c r="AT82" s="144">
        <v>0</v>
      </c>
      <c r="AU82" s="149">
        <v>0</v>
      </c>
      <c r="AV82" s="145">
        <f t="shared" si="51"/>
        <v>0</v>
      </c>
      <c r="AW82" s="146"/>
      <c r="AX82" s="140" t="s">
        <v>120</v>
      </c>
      <c r="AY82" s="143" t="s">
        <v>120</v>
      </c>
      <c r="AZ82" s="144">
        <v>0</v>
      </c>
      <c r="BA82" s="149">
        <v>0</v>
      </c>
      <c r="BB82" s="145">
        <f t="shared" si="52"/>
        <v>0</v>
      </c>
      <c r="BC82" s="150"/>
      <c r="BD82" s="151">
        <f t="shared" si="53"/>
        <v>0</v>
      </c>
      <c r="BE82" s="152">
        <f t="shared" si="54"/>
        <v>0.4</v>
      </c>
      <c r="BF82" s="140" t="s">
        <v>120</v>
      </c>
      <c r="BG82" s="153" t="s">
        <v>120</v>
      </c>
      <c r="BH82" s="154" t="s">
        <v>120</v>
      </c>
      <c r="BI82" s="155" t="s">
        <v>120</v>
      </c>
      <c r="BJ82" s="156" t="s">
        <v>120</v>
      </c>
      <c r="BK82" s="157"/>
      <c r="BL82" s="158">
        <f>_xlfn.XLOOKUP(L82,[1]Auslegungsgrundlagen!$A$9:$A$100,[1]Auslegungsgrundlagen!$U$9:$U$100)</f>
        <v>40</v>
      </c>
      <c r="BM82" s="137">
        <v>0</v>
      </c>
      <c r="BN82" s="159">
        <v>0</v>
      </c>
      <c r="BO82" s="152">
        <f t="shared" si="55"/>
        <v>0.32</v>
      </c>
      <c r="BP82" s="140" t="s">
        <v>481</v>
      </c>
      <c r="BQ82" s="143">
        <f t="shared" si="61"/>
        <v>320</v>
      </c>
      <c r="BR82" s="160">
        <v>1</v>
      </c>
      <c r="BS82" s="142">
        <f t="shared" si="56"/>
        <v>0.32</v>
      </c>
      <c r="BT82" s="140" t="s">
        <v>120</v>
      </c>
      <c r="BU82" s="143" t="s">
        <v>120</v>
      </c>
      <c r="BV82" s="160">
        <v>0</v>
      </c>
      <c r="BW82" s="145">
        <f t="shared" si="57"/>
        <v>0</v>
      </c>
      <c r="BX82" s="146"/>
      <c r="BY82" s="140" t="s">
        <v>120</v>
      </c>
      <c r="BZ82" s="143" t="s">
        <v>120</v>
      </c>
      <c r="CA82" s="160">
        <v>0</v>
      </c>
      <c r="CB82" s="145">
        <f t="shared" si="58"/>
        <v>0</v>
      </c>
      <c r="CC82" s="146"/>
      <c r="CD82" s="151">
        <f t="shared" si="59"/>
        <v>0.32</v>
      </c>
      <c r="CE82" s="161" t="s">
        <v>120</v>
      </c>
      <c r="CF82" s="162" t="s">
        <v>120</v>
      </c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ht="12.3">
      <c r="A83" s="128" t="s">
        <v>325</v>
      </c>
      <c r="B83" s="129">
        <v>3250</v>
      </c>
      <c r="C83" s="129">
        <v>12050</v>
      </c>
      <c r="D83" s="129"/>
      <c r="E83" s="129"/>
      <c r="F83" s="130"/>
      <c r="G83" s="131" t="s">
        <v>302</v>
      </c>
      <c r="H83" s="131" t="s">
        <v>120</v>
      </c>
      <c r="I83" s="131" t="s">
        <v>120</v>
      </c>
      <c r="J83" s="131" t="s">
        <v>326</v>
      </c>
      <c r="K83" s="131" t="s">
        <v>230</v>
      </c>
      <c r="L83" s="177">
        <v>2</v>
      </c>
      <c r="M83" s="131" t="str">
        <f>_xlfn.XLOOKUP(L83,[1]Auslegungsgrundlagen!$A$9:$A$100,[1]Auslegungsgrundlagen!$B$9:$B$100)</f>
        <v>Einzel-/Zweierbüros</v>
      </c>
      <c r="N83" s="132">
        <v>8</v>
      </c>
      <c r="O83" s="132">
        <v>24.73</v>
      </c>
      <c r="P83" s="133">
        <v>0</v>
      </c>
      <c r="Q83" s="134"/>
      <c r="R83" s="135">
        <f>_xlfn.XLOOKUP(L83,[1]Auslegungsgrundlagen!$A$9:$A$100,[1]Auslegungsgrundlagen!$M$9:$M$100)</f>
        <v>50</v>
      </c>
      <c r="S83" s="136">
        <f>_xlfn.XLOOKUP(L83,[1]Auslegungsgrundlagen!$A$9:$A$100,[1]Auslegungsgrundlagen!$Q$9:$Q$100)*P83</f>
        <v>0</v>
      </c>
      <c r="T83" s="137">
        <v>0</v>
      </c>
      <c r="U83" s="137">
        <v>0</v>
      </c>
      <c r="V83" s="138">
        <v>0</v>
      </c>
      <c r="W83" s="139">
        <f t="shared" si="45"/>
        <v>0.4</v>
      </c>
      <c r="X83" s="140" t="s">
        <v>481</v>
      </c>
      <c r="Y83" s="137">
        <f t="shared" si="60"/>
        <v>400</v>
      </c>
      <c r="Z83" s="141">
        <v>1</v>
      </c>
      <c r="AA83" s="142">
        <f t="shared" si="46"/>
        <v>0.4</v>
      </c>
      <c r="AB83" s="140" t="s">
        <v>120</v>
      </c>
      <c r="AC83" s="143" t="s">
        <v>120</v>
      </c>
      <c r="AD83" s="144">
        <v>0</v>
      </c>
      <c r="AE83" s="145">
        <f t="shared" si="47"/>
        <v>0</v>
      </c>
      <c r="AF83" s="146"/>
      <c r="AG83" s="140" t="s">
        <v>120</v>
      </c>
      <c r="AH83" s="143" t="s">
        <v>120</v>
      </c>
      <c r="AI83" s="144">
        <v>0</v>
      </c>
      <c r="AJ83" s="145">
        <f t="shared" si="48"/>
        <v>0</v>
      </c>
      <c r="AK83" s="146"/>
      <c r="AL83" s="147">
        <f t="shared" si="49"/>
        <v>0.4</v>
      </c>
      <c r="AM83" s="140" t="s">
        <v>120</v>
      </c>
      <c r="AN83" s="143" t="s">
        <v>120</v>
      </c>
      <c r="AO83" s="144">
        <v>0</v>
      </c>
      <c r="AP83" s="148">
        <v>0</v>
      </c>
      <c r="AQ83" s="142">
        <f t="shared" si="50"/>
        <v>0</v>
      </c>
      <c r="AR83" s="140" t="s">
        <v>120</v>
      </c>
      <c r="AS83" s="143" t="s">
        <v>120</v>
      </c>
      <c r="AT83" s="144">
        <v>0</v>
      </c>
      <c r="AU83" s="149">
        <v>0</v>
      </c>
      <c r="AV83" s="145">
        <f t="shared" si="51"/>
        <v>0</v>
      </c>
      <c r="AW83" s="146"/>
      <c r="AX83" s="140" t="s">
        <v>120</v>
      </c>
      <c r="AY83" s="143" t="s">
        <v>120</v>
      </c>
      <c r="AZ83" s="144">
        <v>0</v>
      </c>
      <c r="BA83" s="149">
        <v>0</v>
      </c>
      <c r="BB83" s="145">
        <f t="shared" si="52"/>
        <v>0</v>
      </c>
      <c r="BC83" s="150"/>
      <c r="BD83" s="151">
        <f t="shared" si="53"/>
        <v>0</v>
      </c>
      <c r="BE83" s="152">
        <f t="shared" si="54"/>
        <v>0.4</v>
      </c>
      <c r="BF83" s="140" t="s">
        <v>120</v>
      </c>
      <c r="BG83" s="153" t="s">
        <v>120</v>
      </c>
      <c r="BH83" s="154" t="s">
        <v>120</v>
      </c>
      <c r="BI83" s="155" t="s">
        <v>120</v>
      </c>
      <c r="BJ83" s="156" t="s">
        <v>120</v>
      </c>
      <c r="BK83" s="157"/>
      <c r="BL83" s="158">
        <f>_xlfn.XLOOKUP(L83,[1]Auslegungsgrundlagen!$A$9:$A$100,[1]Auslegungsgrundlagen!$U$9:$U$100)</f>
        <v>40</v>
      </c>
      <c r="BM83" s="137">
        <v>0</v>
      </c>
      <c r="BN83" s="159">
        <v>0</v>
      </c>
      <c r="BO83" s="152">
        <f t="shared" si="55"/>
        <v>0.32</v>
      </c>
      <c r="BP83" s="140" t="s">
        <v>481</v>
      </c>
      <c r="BQ83" s="143">
        <f t="shared" si="61"/>
        <v>320</v>
      </c>
      <c r="BR83" s="160">
        <v>1</v>
      </c>
      <c r="BS83" s="142">
        <f t="shared" si="56"/>
        <v>0.32</v>
      </c>
      <c r="BT83" s="140" t="s">
        <v>120</v>
      </c>
      <c r="BU83" s="143" t="s">
        <v>120</v>
      </c>
      <c r="BV83" s="160">
        <v>0</v>
      </c>
      <c r="BW83" s="145">
        <f t="shared" si="57"/>
        <v>0</v>
      </c>
      <c r="BX83" s="146"/>
      <c r="BY83" s="140" t="s">
        <v>120</v>
      </c>
      <c r="BZ83" s="143" t="s">
        <v>120</v>
      </c>
      <c r="CA83" s="160">
        <v>0</v>
      </c>
      <c r="CB83" s="145">
        <f t="shared" si="58"/>
        <v>0</v>
      </c>
      <c r="CC83" s="146"/>
      <c r="CD83" s="151">
        <f t="shared" si="59"/>
        <v>0.32</v>
      </c>
      <c r="CE83" s="161" t="s">
        <v>120</v>
      </c>
      <c r="CF83" s="162" t="s">
        <v>120</v>
      </c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ht="12.3">
      <c r="A84" s="128" t="s">
        <v>329</v>
      </c>
      <c r="B84" s="129">
        <v>3250</v>
      </c>
      <c r="C84" s="129">
        <v>16650</v>
      </c>
      <c r="D84" s="129"/>
      <c r="E84" s="129"/>
      <c r="F84" s="130"/>
      <c r="G84" s="131" t="s">
        <v>302</v>
      </c>
      <c r="H84" s="131" t="s">
        <v>120</v>
      </c>
      <c r="I84" s="131" t="s">
        <v>120</v>
      </c>
      <c r="J84" s="131" t="s">
        <v>330</v>
      </c>
      <c r="K84" s="131" t="s">
        <v>273</v>
      </c>
      <c r="L84" s="177">
        <v>2</v>
      </c>
      <c r="M84" s="131" t="str">
        <f>_xlfn.XLOOKUP(L84,[1]Auslegungsgrundlagen!$A$9:$A$100,[1]Auslegungsgrundlagen!$B$9:$B$100)</f>
        <v>Einzel-/Zweierbüros</v>
      </c>
      <c r="N84" s="132">
        <v>17</v>
      </c>
      <c r="O84" s="132">
        <v>51.87</v>
      </c>
      <c r="P84" s="133">
        <v>0</v>
      </c>
      <c r="Q84" s="134"/>
      <c r="R84" s="135">
        <f>_xlfn.XLOOKUP(L84,[1]Auslegungsgrundlagen!$A$9:$A$100,[1]Auslegungsgrundlagen!$M$9:$M$100)</f>
        <v>50</v>
      </c>
      <c r="S84" s="136">
        <f>_xlfn.XLOOKUP(L84,[1]Auslegungsgrundlagen!$A$9:$A$100,[1]Auslegungsgrundlagen!$Q$9:$Q$100)*P84</f>
        <v>0</v>
      </c>
      <c r="T84" s="137">
        <v>0</v>
      </c>
      <c r="U84" s="137">
        <v>0</v>
      </c>
      <c r="V84" s="138">
        <v>0</v>
      </c>
      <c r="W84" s="139">
        <f t="shared" si="45"/>
        <v>0.85</v>
      </c>
      <c r="X84" s="140" t="s">
        <v>481</v>
      </c>
      <c r="Y84" s="137">
        <f t="shared" si="60"/>
        <v>850</v>
      </c>
      <c r="Z84" s="141">
        <v>1</v>
      </c>
      <c r="AA84" s="142">
        <f t="shared" si="46"/>
        <v>0.85</v>
      </c>
      <c r="AB84" s="140" t="s">
        <v>120</v>
      </c>
      <c r="AC84" s="143" t="s">
        <v>120</v>
      </c>
      <c r="AD84" s="144">
        <v>0</v>
      </c>
      <c r="AE84" s="145">
        <f t="shared" si="47"/>
        <v>0</v>
      </c>
      <c r="AF84" s="146"/>
      <c r="AG84" s="140" t="s">
        <v>120</v>
      </c>
      <c r="AH84" s="143" t="s">
        <v>120</v>
      </c>
      <c r="AI84" s="144">
        <v>0</v>
      </c>
      <c r="AJ84" s="145">
        <f t="shared" si="48"/>
        <v>0</v>
      </c>
      <c r="AK84" s="146"/>
      <c r="AL84" s="147">
        <f t="shared" si="49"/>
        <v>0.85</v>
      </c>
      <c r="AM84" s="140" t="s">
        <v>120</v>
      </c>
      <c r="AN84" s="143" t="s">
        <v>120</v>
      </c>
      <c r="AO84" s="144">
        <v>0</v>
      </c>
      <c r="AP84" s="148">
        <v>0</v>
      </c>
      <c r="AQ84" s="142">
        <f t="shared" si="50"/>
        <v>0</v>
      </c>
      <c r="AR84" s="140" t="s">
        <v>120</v>
      </c>
      <c r="AS84" s="143" t="s">
        <v>120</v>
      </c>
      <c r="AT84" s="144">
        <v>0</v>
      </c>
      <c r="AU84" s="149">
        <v>0</v>
      </c>
      <c r="AV84" s="145">
        <f t="shared" si="51"/>
        <v>0</v>
      </c>
      <c r="AW84" s="146"/>
      <c r="AX84" s="140" t="s">
        <v>120</v>
      </c>
      <c r="AY84" s="143" t="s">
        <v>120</v>
      </c>
      <c r="AZ84" s="144">
        <v>0</v>
      </c>
      <c r="BA84" s="149">
        <v>0</v>
      </c>
      <c r="BB84" s="145">
        <f t="shared" si="52"/>
        <v>0</v>
      </c>
      <c r="BC84" s="150"/>
      <c r="BD84" s="151">
        <f t="shared" si="53"/>
        <v>0</v>
      </c>
      <c r="BE84" s="152">
        <f t="shared" si="54"/>
        <v>0.85</v>
      </c>
      <c r="BF84" s="140" t="s">
        <v>120</v>
      </c>
      <c r="BG84" s="153" t="s">
        <v>120</v>
      </c>
      <c r="BH84" s="154" t="s">
        <v>120</v>
      </c>
      <c r="BI84" s="155" t="s">
        <v>120</v>
      </c>
      <c r="BJ84" s="156" t="s">
        <v>120</v>
      </c>
      <c r="BK84" s="157"/>
      <c r="BL84" s="158">
        <f>_xlfn.XLOOKUP(L84,[1]Auslegungsgrundlagen!$A$9:$A$100,[1]Auslegungsgrundlagen!$U$9:$U$100)</f>
        <v>40</v>
      </c>
      <c r="BM84" s="137">
        <v>0</v>
      </c>
      <c r="BN84" s="159">
        <v>0</v>
      </c>
      <c r="BO84" s="152">
        <f t="shared" si="55"/>
        <v>0.68</v>
      </c>
      <c r="BP84" s="140" t="s">
        <v>481</v>
      </c>
      <c r="BQ84" s="143">
        <f t="shared" si="61"/>
        <v>680</v>
      </c>
      <c r="BR84" s="160">
        <v>1</v>
      </c>
      <c r="BS84" s="142">
        <f t="shared" si="56"/>
        <v>0.68</v>
      </c>
      <c r="BT84" s="140" t="s">
        <v>120</v>
      </c>
      <c r="BU84" s="143" t="s">
        <v>120</v>
      </c>
      <c r="BV84" s="160">
        <v>0</v>
      </c>
      <c r="BW84" s="145">
        <f t="shared" si="57"/>
        <v>0</v>
      </c>
      <c r="BX84" s="146"/>
      <c r="BY84" s="140" t="s">
        <v>120</v>
      </c>
      <c r="BZ84" s="143" t="s">
        <v>120</v>
      </c>
      <c r="CA84" s="160">
        <v>0</v>
      </c>
      <c r="CB84" s="145">
        <f t="shared" si="58"/>
        <v>0</v>
      </c>
      <c r="CC84" s="146"/>
      <c r="CD84" s="151">
        <f t="shared" si="59"/>
        <v>0.68</v>
      </c>
      <c r="CE84" s="161" t="s">
        <v>120</v>
      </c>
      <c r="CF84" s="162" t="s">
        <v>120</v>
      </c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ht="12.3">
      <c r="A85" s="128" t="s">
        <v>327</v>
      </c>
      <c r="B85" s="129">
        <v>3250</v>
      </c>
      <c r="C85" s="129">
        <v>16550</v>
      </c>
      <c r="D85" s="129"/>
      <c r="E85" s="129"/>
      <c r="F85" s="130"/>
      <c r="G85" s="131" t="s">
        <v>302</v>
      </c>
      <c r="H85" s="131" t="s">
        <v>120</v>
      </c>
      <c r="I85" s="131" t="s">
        <v>120</v>
      </c>
      <c r="J85" s="131" t="s">
        <v>328</v>
      </c>
      <c r="K85" s="131" t="s">
        <v>194</v>
      </c>
      <c r="L85" s="177">
        <v>2</v>
      </c>
      <c r="M85" s="131" t="str">
        <f>_xlfn.XLOOKUP(L85,[1]Auslegungsgrundlagen!$A$9:$A$100,[1]Auslegungsgrundlagen!$B$9:$B$100)</f>
        <v>Einzel-/Zweierbüros</v>
      </c>
      <c r="N85" s="132">
        <v>17</v>
      </c>
      <c r="O85" s="132">
        <v>51.22</v>
      </c>
      <c r="P85" s="133">
        <v>0</v>
      </c>
      <c r="Q85" s="134"/>
      <c r="R85" s="135">
        <f>_xlfn.XLOOKUP(L85,[1]Auslegungsgrundlagen!$A$9:$A$100,[1]Auslegungsgrundlagen!$M$9:$M$100)</f>
        <v>50</v>
      </c>
      <c r="S85" s="136">
        <f>_xlfn.XLOOKUP(L85,[1]Auslegungsgrundlagen!$A$9:$A$100,[1]Auslegungsgrundlagen!$Q$9:$Q$100)*P85</f>
        <v>0</v>
      </c>
      <c r="T85" s="137">
        <v>0</v>
      </c>
      <c r="U85" s="137">
        <v>0</v>
      </c>
      <c r="V85" s="138">
        <v>0</v>
      </c>
      <c r="W85" s="139">
        <f t="shared" si="45"/>
        <v>0.85</v>
      </c>
      <c r="X85" s="140" t="s">
        <v>481</v>
      </c>
      <c r="Y85" s="137">
        <f t="shared" si="60"/>
        <v>850</v>
      </c>
      <c r="Z85" s="141">
        <v>1</v>
      </c>
      <c r="AA85" s="142">
        <f t="shared" si="46"/>
        <v>0.85</v>
      </c>
      <c r="AB85" s="140" t="s">
        <v>120</v>
      </c>
      <c r="AC85" s="143" t="s">
        <v>120</v>
      </c>
      <c r="AD85" s="144">
        <v>0</v>
      </c>
      <c r="AE85" s="145">
        <f t="shared" si="47"/>
        <v>0</v>
      </c>
      <c r="AF85" s="146"/>
      <c r="AG85" s="140" t="s">
        <v>120</v>
      </c>
      <c r="AH85" s="143" t="s">
        <v>120</v>
      </c>
      <c r="AI85" s="144">
        <v>0</v>
      </c>
      <c r="AJ85" s="145">
        <f t="shared" si="48"/>
        <v>0</v>
      </c>
      <c r="AK85" s="146"/>
      <c r="AL85" s="147">
        <f t="shared" si="49"/>
        <v>0.85</v>
      </c>
      <c r="AM85" s="140" t="s">
        <v>120</v>
      </c>
      <c r="AN85" s="143" t="s">
        <v>120</v>
      </c>
      <c r="AO85" s="144">
        <v>0</v>
      </c>
      <c r="AP85" s="148">
        <v>0</v>
      </c>
      <c r="AQ85" s="142">
        <f t="shared" si="50"/>
        <v>0</v>
      </c>
      <c r="AR85" s="140" t="s">
        <v>120</v>
      </c>
      <c r="AS85" s="143" t="s">
        <v>120</v>
      </c>
      <c r="AT85" s="144">
        <v>0</v>
      </c>
      <c r="AU85" s="149">
        <v>0</v>
      </c>
      <c r="AV85" s="145">
        <f t="shared" si="51"/>
        <v>0</v>
      </c>
      <c r="AW85" s="146"/>
      <c r="AX85" s="140" t="s">
        <v>120</v>
      </c>
      <c r="AY85" s="143" t="s">
        <v>120</v>
      </c>
      <c r="AZ85" s="144">
        <v>0</v>
      </c>
      <c r="BA85" s="149">
        <v>0</v>
      </c>
      <c r="BB85" s="145">
        <f t="shared" si="52"/>
        <v>0</v>
      </c>
      <c r="BC85" s="150"/>
      <c r="BD85" s="151">
        <f t="shared" si="53"/>
        <v>0</v>
      </c>
      <c r="BE85" s="152">
        <f t="shared" si="54"/>
        <v>0.85</v>
      </c>
      <c r="BF85" s="140" t="s">
        <v>120</v>
      </c>
      <c r="BG85" s="153" t="s">
        <v>120</v>
      </c>
      <c r="BH85" s="154" t="s">
        <v>120</v>
      </c>
      <c r="BI85" s="155" t="s">
        <v>120</v>
      </c>
      <c r="BJ85" s="156" t="s">
        <v>120</v>
      </c>
      <c r="BK85" s="157"/>
      <c r="BL85" s="158">
        <f>_xlfn.XLOOKUP(L85,[1]Auslegungsgrundlagen!$A$9:$A$100,[1]Auslegungsgrundlagen!$U$9:$U$100)</f>
        <v>40</v>
      </c>
      <c r="BM85" s="137">
        <v>0</v>
      </c>
      <c r="BN85" s="159">
        <v>0</v>
      </c>
      <c r="BO85" s="152">
        <f t="shared" si="55"/>
        <v>0.68</v>
      </c>
      <c r="BP85" s="140" t="s">
        <v>481</v>
      </c>
      <c r="BQ85" s="143">
        <f t="shared" si="61"/>
        <v>680</v>
      </c>
      <c r="BR85" s="160">
        <v>1</v>
      </c>
      <c r="BS85" s="142">
        <f t="shared" si="56"/>
        <v>0.68</v>
      </c>
      <c r="BT85" s="140" t="s">
        <v>120</v>
      </c>
      <c r="BU85" s="143" t="s">
        <v>120</v>
      </c>
      <c r="BV85" s="160">
        <v>0</v>
      </c>
      <c r="BW85" s="145">
        <f t="shared" si="57"/>
        <v>0</v>
      </c>
      <c r="BX85" s="146"/>
      <c r="BY85" s="140" t="s">
        <v>120</v>
      </c>
      <c r="BZ85" s="143" t="s">
        <v>120</v>
      </c>
      <c r="CA85" s="160">
        <v>0</v>
      </c>
      <c r="CB85" s="145">
        <f t="shared" si="58"/>
        <v>0</v>
      </c>
      <c r="CC85" s="146"/>
      <c r="CD85" s="151">
        <f t="shared" si="59"/>
        <v>0.68</v>
      </c>
      <c r="CE85" s="161" t="s">
        <v>120</v>
      </c>
      <c r="CF85" s="162" t="s">
        <v>120</v>
      </c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ht="12.3">
      <c r="A86" s="128" t="s">
        <v>321</v>
      </c>
      <c r="B86" s="129">
        <v>3250</v>
      </c>
      <c r="C86" s="129">
        <v>12150</v>
      </c>
      <c r="D86" s="129"/>
      <c r="E86" s="129"/>
      <c r="F86" s="130"/>
      <c r="G86" s="131" t="s">
        <v>302</v>
      </c>
      <c r="H86" s="131" t="s">
        <v>120</v>
      </c>
      <c r="I86" s="131" t="s">
        <v>120</v>
      </c>
      <c r="J86" s="131" t="s">
        <v>322</v>
      </c>
      <c r="K86" s="131" t="s">
        <v>230</v>
      </c>
      <c r="L86" s="177">
        <v>2</v>
      </c>
      <c r="M86" s="131" t="str">
        <f>_xlfn.XLOOKUP(L86,[1]Auslegungsgrundlagen!$A$9:$A$100,[1]Auslegungsgrundlagen!$B$9:$B$100)</f>
        <v>Einzel-/Zweierbüros</v>
      </c>
      <c r="N86" s="132">
        <v>8</v>
      </c>
      <c r="O86" s="132">
        <v>25.04</v>
      </c>
      <c r="P86" s="133">
        <v>0</v>
      </c>
      <c r="Q86" s="134"/>
      <c r="R86" s="135">
        <f>_xlfn.XLOOKUP(L86,[1]Auslegungsgrundlagen!$A$9:$A$100,[1]Auslegungsgrundlagen!$M$9:$M$100)</f>
        <v>50</v>
      </c>
      <c r="S86" s="136">
        <f>_xlfn.XLOOKUP(L86,[1]Auslegungsgrundlagen!$A$9:$A$100,[1]Auslegungsgrundlagen!$Q$9:$Q$100)*P86</f>
        <v>0</v>
      </c>
      <c r="T86" s="137">
        <v>0</v>
      </c>
      <c r="U86" s="137">
        <v>0</v>
      </c>
      <c r="V86" s="138">
        <v>0</v>
      </c>
      <c r="W86" s="139">
        <f t="shared" si="45"/>
        <v>0.4</v>
      </c>
      <c r="X86" s="140" t="s">
        <v>481</v>
      </c>
      <c r="Y86" s="137">
        <f t="shared" si="60"/>
        <v>400</v>
      </c>
      <c r="Z86" s="141">
        <v>1</v>
      </c>
      <c r="AA86" s="142">
        <f t="shared" si="46"/>
        <v>0.4</v>
      </c>
      <c r="AB86" s="140" t="s">
        <v>120</v>
      </c>
      <c r="AC86" s="143" t="s">
        <v>120</v>
      </c>
      <c r="AD86" s="144">
        <v>0</v>
      </c>
      <c r="AE86" s="145">
        <f t="shared" si="47"/>
        <v>0</v>
      </c>
      <c r="AF86" s="146"/>
      <c r="AG86" s="140" t="s">
        <v>120</v>
      </c>
      <c r="AH86" s="143" t="s">
        <v>120</v>
      </c>
      <c r="AI86" s="144">
        <v>0</v>
      </c>
      <c r="AJ86" s="145">
        <f t="shared" si="48"/>
        <v>0</v>
      </c>
      <c r="AK86" s="146"/>
      <c r="AL86" s="147">
        <f t="shared" si="49"/>
        <v>0.4</v>
      </c>
      <c r="AM86" s="140" t="s">
        <v>120</v>
      </c>
      <c r="AN86" s="143" t="s">
        <v>120</v>
      </c>
      <c r="AO86" s="144">
        <v>0</v>
      </c>
      <c r="AP86" s="148">
        <v>0</v>
      </c>
      <c r="AQ86" s="142">
        <f t="shared" si="50"/>
        <v>0</v>
      </c>
      <c r="AR86" s="140" t="s">
        <v>120</v>
      </c>
      <c r="AS86" s="143" t="s">
        <v>120</v>
      </c>
      <c r="AT86" s="144">
        <v>0</v>
      </c>
      <c r="AU86" s="149">
        <v>0</v>
      </c>
      <c r="AV86" s="145">
        <f t="shared" si="51"/>
        <v>0</v>
      </c>
      <c r="AW86" s="146"/>
      <c r="AX86" s="140" t="s">
        <v>120</v>
      </c>
      <c r="AY86" s="143" t="s">
        <v>120</v>
      </c>
      <c r="AZ86" s="144">
        <v>0</v>
      </c>
      <c r="BA86" s="149">
        <v>0</v>
      </c>
      <c r="BB86" s="145">
        <f t="shared" si="52"/>
        <v>0</v>
      </c>
      <c r="BC86" s="150"/>
      <c r="BD86" s="151">
        <f t="shared" si="53"/>
        <v>0</v>
      </c>
      <c r="BE86" s="152">
        <f t="shared" si="54"/>
        <v>0.4</v>
      </c>
      <c r="BF86" s="140" t="s">
        <v>120</v>
      </c>
      <c r="BG86" s="153" t="s">
        <v>120</v>
      </c>
      <c r="BH86" s="154" t="s">
        <v>120</v>
      </c>
      <c r="BI86" s="155" t="s">
        <v>120</v>
      </c>
      <c r="BJ86" s="156" t="s">
        <v>120</v>
      </c>
      <c r="BK86" s="157"/>
      <c r="BL86" s="158">
        <f>_xlfn.XLOOKUP(L86,[1]Auslegungsgrundlagen!$A$9:$A$100,[1]Auslegungsgrundlagen!$U$9:$U$100)</f>
        <v>40</v>
      </c>
      <c r="BM86" s="137">
        <v>0</v>
      </c>
      <c r="BN86" s="159">
        <v>0</v>
      </c>
      <c r="BO86" s="152">
        <f t="shared" si="55"/>
        <v>0.32</v>
      </c>
      <c r="BP86" s="140" t="s">
        <v>481</v>
      </c>
      <c r="BQ86" s="143">
        <f t="shared" si="61"/>
        <v>320</v>
      </c>
      <c r="BR86" s="160">
        <v>1</v>
      </c>
      <c r="BS86" s="142">
        <f t="shared" si="56"/>
        <v>0.32</v>
      </c>
      <c r="BT86" s="140" t="s">
        <v>120</v>
      </c>
      <c r="BU86" s="143" t="s">
        <v>120</v>
      </c>
      <c r="BV86" s="160">
        <v>0</v>
      </c>
      <c r="BW86" s="145">
        <f t="shared" si="57"/>
        <v>0</v>
      </c>
      <c r="BX86" s="146"/>
      <c r="BY86" s="140" t="s">
        <v>120</v>
      </c>
      <c r="BZ86" s="143" t="s">
        <v>120</v>
      </c>
      <c r="CA86" s="160">
        <v>0</v>
      </c>
      <c r="CB86" s="145">
        <f t="shared" si="58"/>
        <v>0</v>
      </c>
      <c r="CC86" s="146"/>
      <c r="CD86" s="151">
        <f t="shared" si="59"/>
        <v>0.32</v>
      </c>
      <c r="CE86" s="161" t="s">
        <v>120</v>
      </c>
      <c r="CF86" s="162" t="s">
        <v>120</v>
      </c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ht="12.3">
      <c r="A87" s="128" t="s">
        <v>318</v>
      </c>
      <c r="B87" s="129">
        <v>3250</v>
      </c>
      <c r="C87" s="129">
        <v>12050</v>
      </c>
      <c r="D87" s="129"/>
      <c r="E87" s="129"/>
      <c r="F87" s="130"/>
      <c r="G87" s="131" t="s">
        <v>302</v>
      </c>
      <c r="H87" s="131" t="s">
        <v>120</v>
      </c>
      <c r="I87" s="131" t="s">
        <v>120</v>
      </c>
      <c r="J87" s="131" t="s">
        <v>319</v>
      </c>
      <c r="K87" s="131" t="s">
        <v>320</v>
      </c>
      <c r="L87" s="177">
        <v>2</v>
      </c>
      <c r="M87" s="131" t="str">
        <f>_xlfn.XLOOKUP(L87,[1]Auslegungsgrundlagen!$A$9:$A$100,[1]Auslegungsgrundlagen!$B$9:$B$100)</f>
        <v>Einzel-/Zweierbüros</v>
      </c>
      <c r="N87" s="132">
        <v>8</v>
      </c>
      <c r="O87" s="132">
        <v>24.45</v>
      </c>
      <c r="P87" s="133">
        <v>0</v>
      </c>
      <c r="Q87" s="134"/>
      <c r="R87" s="135">
        <f>_xlfn.XLOOKUP(L87,[1]Auslegungsgrundlagen!$A$9:$A$100,[1]Auslegungsgrundlagen!$M$9:$M$100)</f>
        <v>50</v>
      </c>
      <c r="S87" s="136">
        <f>_xlfn.XLOOKUP(L87,[1]Auslegungsgrundlagen!$A$9:$A$100,[1]Auslegungsgrundlagen!$Q$9:$Q$100)*P87</f>
        <v>0</v>
      </c>
      <c r="T87" s="137">
        <v>0</v>
      </c>
      <c r="U87" s="137">
        <v>0</v>
      </c>
      <c r="V87" s="138">
        <v>0</v>
      </c>
      <c r="W87" s="139">
        <f t="shared" si="45"/>
        <v>0.4</v>
      </c>
      <c r="X87" s="140" t="s">
        <v>481</v>
      </c>
      <c r="Y87" s="137">
        <f t="shared" si="60"/>
        <v>400</v>
      </c>
      <c r="Z87" s="141">
        <v>1</v>
      </c>
      <c r="AA87" s="142">
        <f t="shared" si="46"/>
        <v>0.4</v>
      </c>
      <c r="AB87" s="140" t="s">
        <v>120</v>
      </c>
      <c r="AC87" s="143" t="s">
        <v>120</v>
      </c>
      <c r="AD87" s="144">
        <v>0</v>
      </c>
      <c r="AE87" s="145">
        <f t="shared" si="47"/>
        <v>0</v>
      </c>
      <c r="AF87" s="146"/>
      <c r="AG87" s="140" t="s">
        <v>120</v>
      </c>
      <c r="AH87" s="143" t="s">
        <v>120</v>
      </c>
      <c r="AI87" s="144">
        <v>0</v>
      </c>
      <c r="AJ87" s="145">
        <f t="shared" si="48"/>
        <v>0</v>
      </c>
      <c r="AK87" s="146"/>
      <c r="AL87" s="147">
        <f t="shared" si="49"/>
        <v>0.4</v>
      </c>
      <c r="AM87" s="140" t="s">
        <v>120</v>
      </c>
      <c r="AN87" s="143" t="s">
        <v>120</v>
      </c>
      <c r="AO87" s="144">
        <v>0</v>
      </c>
      <c r="AP87" s="148">
        <v>0</v>
      </c>
      <c r="AQ87" s="142">
        <f t="shared" si="50"/>
        <v>0</v>
      </c>
      <c r="AR87" s="140" t="s">
        <v>120</v>
      </c>
      <c r="AS87" s="143" t="s">
        <v>120</v>
      </c>
      <c r="AT87" s="144">
        <v>0</v>
      </c>
      <c r="AU87" s="149">
        <v>0</v>
      </c>
      <c r="AV87" s="145">
        <f t="shared" si="51"/>
        <v>0</v>
      </c>
      <c r="AW87" s="146"/>
      <c r="AX87" s="140" t="s">
        <v>120</v>
      </c>
      <c r="AY87" s="143" t="s">
        <v>120</v>
      </c>
      <c r="AZ87" s="144">
        <v>0</v>
      </c>
      <c r="BA87" s="149">
        <v>0</v>
      </c>
      <c r="BB87" s="145">
        <f t="shared" si="52"/>
        <v>0</v>
      </c>
      <c r="BC87" s="150"/>
      <c r="BD87" s="151">
        <f t="shared" si="53"/>
        <v>0</v>
      </c>
      <c r="BE87" s="152">
        <f t="shared" si="54"/>
        <v>0.4</v>
      </c>
      <c r="BF87" s="140" t="s">
        <v>120</v>
      </c>
      <c r="BG87" s="153" t="s">
        <v>120</v>
      </c>
      <c r="BH87" s="154" t="s">
        <v>120</v>
      </c>
      <c r="BI87" s="155" t="s">
        <v>120</v>
      </c>
      <c r="BJ87" s="156" t="s">
        <v>120</v>
      </c>
      <c r="BK87" s="157"/>
      <c r="BL87" s="158">
        <f>_xlfn.XLOOKUP(L87,[1]Auslegungsgrundlagen!$A$9:$A$100,[1]Auslegungsgrundlagen!$U$9:$U$100)</f>
        <v>40</v>
      </c>
      <c r="BM87" s="137">
        <v>0</v>
      </c>
      <c r="BN87" s="159">
        <v>0</v>
      </c>
      <c r="BO87" s="152">
        <f t="shared" si="55"/>
        <v>0.32</v>
      </c>
      <c r="BP87" s="140" t="s">
        <v>481</v>
      </c>
      <c r="BQ87" s="143">
        <f t="shared" si="61"/>
        <v>320</v>
      </c>
      <c r="BR87" s="160">
        <v>1</v>
      </c>
      <c r="BS87" s="142">
        <f t="shared" si="56"/>
        <v>0.32</v>
      </c>
      <c r="BT87" s="140" t="s">
        <v>120</v>
      </c>
      <c r="BU87" s="143" t="s">
        <v>120</v>
      </c>
      <c r="BV87" s="160">
        <v>0</v>
      </c>
      <c r="BW87" s="145">
        <f t="shared" si="57"/>
        <v>0</v>
      </c>
      <c r="BX87" s="146"/>
      <c r="BY87" s="140" t="s">
        <v>120</v>
      </c>
      <c r="BZ87" s="143" t="s">
        <v>120</v>
      </c>
      <c r="CA87" s="160">
        <v>0</v>
      </c>
      <c r="CB87" s="145">
        <f t="shared" si="58"/>
        <v>0</v>
      </c>
      <c r="CC87" s="146"/>
      <c r="CD87" s="151">
        <f t="shared" si="59"/>
        <v>0.32</v>
      </c>
      <c r="CE87" s="161" t="s">
        <v>120</v>
      </c>
      <c r="CF87" s="162" t="s">
        <v>120</v>
      </c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ht="12.3">
      <c r="A88" s="128" t="s">
        <v>301</v>
      </c>
      <c r="B88" s="129">
        <v>3250</v>
      </c>
      <c r="C88" s="129">
        <v>11750</v>
      </c>
      <c r="D88" s="129"/>
      <c r="E88" s="129"/>
      <c r="F88" s="130"/>
      <c r="G88" s="131" t="s">
        <v>302</v>
      </c>
      <c r="H88" s="131" t="s">
        <v>120</v>
      </c>
      <c r="I88" s="131" t="s">
        <v>120</v>
      </c>
      <c r="J88" s="131" t="s">
        <v>303</v>
      </c>
      <c r="K88" s="131" t="s">
        <v>168</v>
      </c>
      <c r="L88" s="177">
        <v>18</v>
      </c>
      <c r="M88" s="131" t="str">
        <f>_xlfn.XLOOKUP(L88,[1]Auslegungsgrundlagen!$A$9:$A$100,[1]Auslegungsgrundlagen!$B$9:$B$100)</f>
        <v>Schächte</v>
      </c>
      <c r="N88" s="132">
        <v>8</v>
      </c>
      <c r="O88" s="132">
        <v>23.25</v>
      </c>
      <c r="P88" s="133">
        <v>0</v>
      </c>
      <c r="Q88" s="134"/>
      <c r="R88" s="135">
        <f>_xlfn.XLOOKUP(L88,[1]Auslegungsgrundlagen!$A$9:$A$100,[1]Auslegungsgrundlagen!$M$9:$M$100)</f>
        <v>0</v>
      </c>
      <c r="S88" s="136">
        <f>_xlfn.XLOOKUP(L88,[1]Auslegungsgrundlagen!$A$9:$A$100,[1]Auslegungsgrundlagen!$Q$9:$Q$100)*P88</f>
        <v>0</v>
      </c>
      <c r="T88" s="137">
        <v>0</v>
      </c>
      <c r="U88" s="137">
        <v>0</v>
      </c>
      <c r="V88" s="138">
        <v>0</v>
      </c>
      <c r="W88" s="139">
        <f t="shared" si="45"/>
        <v>0</v>
      </c>
      <c r="X88" s="140" t="s">
        <v>120</v>
      </c>
      <c r="Y88" s="137" t="s">
        <v>120</v>
      </c>
      <c r="Z88" s="141">
        <v>0</v>
      </c>
      <c r="AA88" s="142">
        <f t="shared" si="46"/>
        <v>0</v>
      </c>
      <c r="AB88" s="140" t="s">
        <v>120</v>
      </c>
      <c r="AC88" s="143" t="s">
        <v>120</v>
      </c>
      <c r="AD88" s="144">
        <v>0</v>
      </c>
      <c r="AE88" s="145">
        <f t="shared" si="47"/>
        <v>0</v>
      </c>
      <c r="AF88" s="146"/>
      <c r="AG88" s="140" t="s">
        <v>120</v>
      </c>
      <c r="AH88" s="143" t="s">
        <v>120</v>
      </c>
      <c r="AI88" s="144">
        <v>0</v>
      </c>
      <c r="AJ88" s="145">
        <f t="shared" si="48"/>
        <v>0</v>
      </c>
      <c r="AK88" s="146"/>
      <c r="AL88" s="147">
        <f t="shared" si="49"/>
        <v>0</v>
      </c>
      <c r="AM88" s="140" t="s">
        <v>120</v>
      </c>
      <c r="AN88" s="143" t="s">
        <v>120</v>
      </c>
      <c r="AO88" s="144">
        <v>0</v>
      </c>
      <c r="AP88" s="148">
        <v>0</v>
      </c>
      <c r="AQ88" s="142">
        <f t="shared" si="50"/>
        <v>0</v>
      </c>
      <c r="AR88" s="140" t="s">
        <v>120</v>
      </c>
      <c r="AS88" s="143" t="s">
        <v>120</v>
      </c>
      <c r="AT88" s="144">
        <v>0</v>
      </c>
      <c r="AU88" s="149">
        <v>0</v>
      </c>
      <c r="AV88" s="145">
        <f t="shared" si="51"/>
        <v>0</v>
      </c>
      <c r="AW88" s="146"/>
      <c r="AX88" s="140" t="s">
        <v>120</v>
      </c>
      <c r="AY88" s="143" t="s">
        <v>120</v>
      </c>
      <c r="AZ88" s="144">
        <v>0</v>
      </c>
      <c r="BA88" s="149">
        <v>0</v>
      </c>
      <c r="BB88" s="145">
        <f t="shared" si="52"/>
        <v>0</v>
      </c>
      <c r="BC88" s="150"/>
      <c r="BD88" s="151">
        <f t="shared" si="53"/>
        <v>0</v>
      </c>
      <c r="BE88" s="152">
        <f t="shared" si="54"/>
        <v>0</v>
      </c>
      <c r="BF88" s="140" t="s">
        <v>120</v>
      </c>
      <c r="BG88" s="153" t="s">
        <v>120</v>
      </c>
      <c r="BH88" s="154" t="s">
        <v>120</v>
      </c>
      <c r="BI88" s="155" t="s">
        <v>120</v>
      </c>
      <c r="BJ88" s="156" t="s">
        <v>120</v>
      </c>
      <c r="BK88" s="157"/>
      <c r="BL88" s="158">
        <f>_xlfn.XLOOKUP(L88,[1]Auslegungsgrundlagen!$A$9:$A$100,[1]Auslegungsgrundlagen!$U$9:$U$100)</f>
        <v>0</v>
      </c>
      <c r="BM88" s="137">
        <v>0</v>
      </c>
      <c r="BN88" s="159">
        <v>0</v>
      </c>
      <c r="BO88" s="152">
        <f t="shared" si="55"/>
        <v>0</v>
      </c>
      <c r="BP88" s="140" t="s">
        <v>120</v>
      </c>
      <c r="BQ88" s="143" t="s">
        <v>120</v>
      </c>
      <c r="BR88" s="160">
        <v>0</v>
      </c>
      <c r="BS88" s="142">
        <f t="shared" si="56"/>
        <v>0</v>
      </c>
      <c r="BT88" s="140" t="s">
        <v>120</v>
      </c>
      <c r="BU88" s="143" t="s">
        <v>120</v>
      </c>
      <c r="BV88" s="160">
        <v>0</v>
      </c>
      <c r="BW88" s="145">
        <f t="shared" si="57"/>
        <v>0</v>
      </c>
      <c r="BX88" s="146"/>
      <c r="BY88" s="140" t="s">
        <v>120</v>
      </c>
      <c r="BZ88" s="143" t="s">
        <v>120</v>
      </c>
      <c r="CA88" s="160">
        <v>0</v>
      </c>
      <c r="CB88" s="145">
        <f t="shared" si="58"/>
        <v>0</v>
      </c>
      <c r="CC88" s="146"/>
      <c r="CD88" s="151">
        <f t="shared" si="59"/>
        <v>0</v>
      </c>
      <c r="CE88" s="161" t="s">
        <v>120</v>
      </c>
      <c r="CF88" s="162" t="s">
        <v>120</v>
      </c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ht="12.3">
      <c r="A89" s="128" t="s">
        <v>304</v>
      </c>
      <c r="B89" s="129">
        <v>3250</v>
      </c>
      <c r="C89" s="129">
        <v>11750</v>
      </c>
      <c r="D89" s="129"/>
      <c r="E89" s="129"/>
      <c r="F89" s="130"/>
      <c r="G89" s="131" t="s">
        <v>302</v>
      </c>
      <c r="H89" s="131" t="s">
        <v>120</v>
      </c>
      <c r="I89" s="131" t="s">
        <v>120</v>
      </c>
      <c r="J89" s="131" t="s">
        <v>305</v>
      </c>
      <c r="K89" s="131" t="s">
        <v>483</v>
      </c>
      <c r="L89" s="177">
        <v>13</v>
      </c>
      <c r="M89" s="131" t="str">
        <f>_xlfn.XLOOKUP(L89,[1]Auslegungsgrundlagen!$A$9:$A$100,[1]Auslegungsgrundlagen!$B$9:$B$100)</f>
        <v>Etagenverteiler</v>
      </c>
      <c r="N89" s="132">
        <v>8</v>
      </c>
      <c r="O89" s="132">
        <v>23.25</v>
      </c>
      <c r="P89" s="133">
        <v>0</v>
      </c>
      <c r="Q89" s="134"/>
      <c r="R89" s="135">
        <f>_xlfn.XLOOKUP(L89,[1]Auslegungsgrundlagen!$A$9:$A$100,[1]Auslegungsgrundlagen!$M$9:$M$100)</f>
        <v>0</v>
      </c>
      <c r="S89" s="136">
        <f>_xlfn.XLOOKUP(L89,[1]Auslegungsgrundlagen!$A$9:$A$100,[1]Auslegungsgrundlagen!$Q$9:$Q$100)*P89</f>
        <v>0</v>
      </c>
      <c r="T89" s="137">
        <v>3500</v>
      </c>
      <c r="U89" s="137">
        <v>0</v>
      </c>
      <c r="V89" s="138">
        <v>0</v>
      </c>
      <c r="W89" s="139">
        <f t="shared" si="45"/>
        <v>3.5</v>
      </c>
      <c r="X89" s="140" t="s">
        <v>11</v>
      </c>
      <c r="Y89" s="137">
        <f>W89*1000</f>
        <v>3500</v>
      </c>
      <c r="Z89" s="141">
        <v>1</v>
      </c>
      <c r="AA89" s="142">
        <f t="shared" si="46"/>
        <v>3.5</v>
      </c>
      <c r="AB89" s="140" t="s">
        <v>120</v>
      </c>
      <c r="AC89" s="143" t="s">
        <v>120</v>
      </c>
      <c r="AD89" s="144">
        <v>0</v>
      </c>
      <c r="AE89" s="145">
        <f t="shared" si="47"/>
        <v>0</v>
      </c>
      <c r="AF89" s="146"/>
      <c r="AG89" s="140" t="s">
        <v>120</v>
      </c>
      <c r="AH89" s="143" t="s">
        <v>120</v>
      </c>
      <c r="AI89" s="144">
        <v>0</v>
      </c>
      <c r="AJ89" s="145">
        <f t="shared" si="48"/>
        <v>0</v>
      </c>
      <c r="AK89" s="146"/>
      <c r="AL89" s="147">
        <f t="shared" si="49"/>
        <v>3.5</v>
      </c>
      <c r="AM89" s="140" t="s">
        <v>120</v>
      </c>
      <c r="AN89" s="143" t="s">
        <v>120</v>
      </c>
      <c r="AO89" s="144">
        <v>0</v>
      </c>
      <c r="AP89" s="148">
        <v>0</v>
      </c>
      <c r="AQ89" s="142">
        <f t="shared" si="50"/>
        <v>0</v>
      </c>
      <c r="AR89" s="140" t="s">
        <v>120</v>
      </c>
      <c r="AS89" s="143" t="s">
        <v>120</v>
      </c>
      <c r="AT89" s="144">
        <v>0</v>
      </c>
      <c r="AU89" s="149">
        <v>0</v>
      </c>
      <c r="AV89" s="145">
        <f t="shared" si="51"/>
        <v>0</v>
      </c>
      <c r="AW89" s="146"/>
      <c r="AX89" s="140" t="s">
        <v>120</v>
      </c>
      <c r="AY89" s="143" t="s">
        <v>120</v>
      </c>
      <c r="AZ89" s="144">
        <v>0</v>
      </c>
      <c r="BA89" s="149">
        <v>0</v>
      </c>
      <c r="BB89" s="145">
        <f t="shared" si="52"/>
        <v>0</v>
      </c>
      <c r="BC89" s="150"/>
      <c r="BD89" s="151">
        <f t="shared" si="53"/>
        <v>0</v>
      </c>
      <c r="BE89" s="152">
        <f t="shared" si="54"/>
        <v>3.5</v>
      </c>
      <c r="BF89" s="140" t="s">
        <v>120</v>
      </c>
      <c r="BG89" s="153" t="s">
        <v>120</v>
      </c>
      <c r="BH89" s="154" t="s">
        <v>120</v>
      </c>
      <c r="BI89" s="155" t="s">
        <v>120</v>
      </c>
      <c r="BJ89" s="156" t="s">
        <v>120</v>
      </c>
      <c r="BK89" s="157"/>
      <c r="BL89" s="158">
        <f>_xlfn.XLOOKUP(L89,[1]Auslegungsgrundlagen!$A$9:$A$100,[1]Auslegungsgrundlagen!$U$9:$U$100)</f>
        <v>0</v>
      </c>
      <c r="BM89" s="137">
        <v>0</v>
      </c>
      <c r="BN89" s="159">
        <v>0</v>
      </c>
      <c r="BO89" s="152">
        <f t="shared" si="55"/>
        <v>0</v>
      </c>
      <c r="BP89" s="140" t="s">
        <v>120</v>
      </c>
      <c r="BQ89" s="143" t="s">
        <v>120</v>
      </c>
      <c r="BR89" s="160">
        <v>0</v>
      </c>
      <c r="BS89" s="142">
        <f t="shared" si="56"/>
        <v>0</v>
      </c>
      <c r="BT89" s="140" t="s">
        <v>120</v>
      </c>
      <c r="BU89" s="143" t="s">
        <v>120</v>
      </c>
      <c r="BV89" s="160">
        <v>0</v>
      </c>
      <c r="BW89" s="145">
        <f t="shared" si="57"/>
        <v>0</v>
      </c>
      <c r="BX89" s="146"/>
      <c r="BY89" s="140" t="s">
        <v>120</v>
      </c>
      <c r="BZ89" s="143" t="s">
        <v>120</v>
      </c>
      <c r="CA89" s="160">
        <v>0</v>
      </c>
      <c r="CB89" s="145">
        <f t="shared" si="58"/>
        <v>0</v>
      </c>
      <c r="CC89" s="146"/>
      <c r="CD89" s="151">
        <f t="shared" si="59"/>
        <v>0</v>
      </c>
      <c r="CE89" s="161" t="s">
        <v>120</v>
      </c>
      <c r="CF89" s="162" t="s">
        <v>120</v>
      </c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ht="12.3">
      <c r="A90" s="128" t="s">
        <v>465</v>
      </c>
      <c r="B90" s="129">
        <v>3250</v>
      </c>
      <c r="C90" s="129">
        <v>62660</v>
      </c>
      <c r="D90" s="129"/>
      <c r="E90" s="129"/>
      <c r="F90" s="130"/>
      <c r="G90" s="131" t="s">
        <v>302</v>
      </c>
      <c r="H90" s="131" t="s">
        <v>120</v>
      </c>
      <c r="I90" s="131" t="s">
        <v>120</v>
      </c>
      <c r="J90" s="131" t="s">
        <v>466</v>
      </c>
      <c r="K90" s="131" t="s">
        <v>156</v>
      </c>
      <c r="L90" s="177">
        <v>6</v>
      </c>
      <c r="M90" s="131" t="str">
        <f>_xlfn.XLOOKUP(L90,[1]Auslegungsgrundlagen!$A$9:$A$100,[1]Auslegungsgrundlagen!$B$9:$B$100)</f>
        <v>Verkehrsflächen, Flure</v>
      </c>
      <c r="N90" s="132">
        <v>67</v>
      </c>
      <c r="O90" s="132">
        <v>202.31</v>
      </c>
      <c r="P90" s="133">
        <v>0</v>
      </c>
      <c r="Q90" s="134"/>
      <c r="R90" s="135">
        <f>_xlfn.XLOOKUP(L90,[1]Auslegungsgrundlagen!$A$9:$A$100,[1]Auslegungsgrundlagen!$M$9:$M$100)</f>
        <v>0</v>
      </c>
      <c r="S90" s="136">
        <f>_xlfn.XLOOKUP(L90,[1]Auslegungsgrundlagen!$A$9:$A$100,[1]Auslegungsgrundlagen!$Q$9:$Q$100)*P90</f>
        <v>0</v>
      </c>
      <c r="T90" s="137">
        <v>0</v>
      </c>
      <c r="U90" s="137">
        <v>0</v>
      </c>
      <c r="V90" s="138">
        <v>0</v>
      </c>
      <c r="W90" s="139">
        <f t="shared" si="45"/>
        <v>0</v>
      </c>
      <c r="X90" s="140" t="s">
        <v>120</v>
      </c>
      <c r="Y90" s="137" t="s">
        <v>120</v>
      </c>
      <c r="Z90" s="141">
        <v>0</v>
      </c>
      <c r="AA90" s="142">
        <f t="shared" si="46"/>
        <v>0</v>
      </c>
      <c r="AB90" s="140" t="s">
        <v>120</v>
      </c>
      <c r="AC90" s="143" t="s">
        <v>120</v>
      </c>
      <c r="AD90" s="144">
        <v>0</v>
      </c>
      <c r="AE90" s="145">
        <f t="shared" si="47"/>
        <v>0</v>
      </c>
      <c r="AF90" s="146"/>
      <c r="AG90" s="140" t="s">
        <v>120</v>
      </c>
      <c r="AH90" s="143" t="s">
        <v>120</v>
      </c>
      <c r="AI90" s="144">
        <v>0</v>
      </c>
      <c r="AJ90" s="145">
        <f t="shared" si="48"/>
        <v>0</v>
      </c>
      <c r="AK90" s="146"/>
      <c r="AL90" s="147">
        <f t="shared" si="49"/>
        <v>0</v>
      </c>
      <c r="AM90" s="140" t="s">
        <v>120</v>
      </c>
      <c r="AN90" s="143" t="s">
        <v>120</v>
      </c>
      <c r="AO90" s="144">
        <v>0</v>
      </c>
      <c r="AP90" s="148">
        <v>0</v>
      </c>
      <c r="AQ90" s="142">
        <f t="shared" si="50"/>
        <v>0</v>
      </c>
      <c r="AR90" s="140" t="s">
        <v>120</v>
      </c>
      <c r="AS90" s="143" t="s">
        <v>120</v>
      </c>
      <c r="AT90" s="144">
        <v>0</v>
      </c>
      <c r="AU90" s="149">
        <v>0</v>
      </c>
      <c r="AV90" s="145">
        <f t="shared" si="51"/>
        <v>0</v>
      </c>
      <c r="AW90" s="146"/>
      <c r="AX90" s="140" t="s">
        <v>120</v>
      </c>
      <c r="AY90" s="143" t="s">
        <v>120</v>
      </c>
      <c r="AZ90" s="144">
        <v>0</v>
      </c>
      <c r="BA90" s="149">
        <v>0</v>
      </c>
      <c r="BB90" s="145">
        <f t="shared" si="52"/>
        <v>0</v>
      </c>
      <c r="BC90" s="150"/>
      <c r="BD90" s="151">
        <f t="shared" si="53"/>
        <v>0</v>
      </c>
      <c r="BE90" s="152">
        <f t="shared" si="54"/>
        <v>0</v>
      </c>
      <c r="BF90" s="140" t="s">
        <v>120</v>
      </c>
      <c r="BG90" s="153" t="s">
        <v>120</v>
      </c>
      <c r="BH90" s="154" t="s">
        <v>120</v>
      </c>
      <c r="BI90" s="155" t="s">
        <v>120</v>
      </c>
      <c r="BJ90" s="156" t="s">
        <v>120</v>
      </c>
      <c r="BK90" s="157"/>
      <c r="BL90" s="158">
        <f>_xlfn.XLOOKUP(L90,[1]Auslegungsgrundlagen!$A$9:$A$100,[1]Auslegungsgrundlagen!$U$9:$U$100)</f>
        <v>0</v>
      </c>
      <c r="BM90" s="137">
        <v>0</v>
      </c>
      <c r="BN90" s="159">
        <v>0</v>
      </c>
      <c r="BO90" s="152">
        <f t="shared" si="55"/>
        <v>0</v>
      </c>
      <c r="BP90" s="140" t="s">
        <v>120</v>
      </c>
      <c r="BQ90" s="143" t="s">
        <v>120</v>
      </c>
      <c r="BR90" s="160">
        <v>0</v>
      </c>
      <c r="BS90" s="142">
        <f t="shared" si="56"/>
        <v>0</v>
      </c>
      <c r="BT90" s="140" t="s">
        <v>120</v>
      </c>
      <c r="BU90" s="143" t="s">
        <v>120</v>
      </c>
      <c r="BV90" s="160">
        <v>0</v>
      </c>
      <c r="BW90" s="145">
        <f t="shared" si="57"/>
        <v>0</v>
      </c>
      <c r="BX90" s="146"/>
      <c r="BY90" s="140" t="s">
        <v>120</v>
      </c>
      <c r="BZ90" s="143" t="s">
        <v>120</v>
      </c>
      <c r="CA90" s="160">
        <v>0</v>
      </c>
      <c r="CB90" s="145">
        <f t="shared" si="58"/>
        <v>0</v>
      </c>
      <c r="CC90" s="146"/>
      <c r="CD90" s="151">
        <f t="shared" si="59"/>
        <v>0</v>
      </c>
      <c r="CE90" s="161" t="s">
        <v>120</v>
      </c>
      <c r="CF90" s="162" t="s">
        <v>120</v>
      </c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ht="12.3">
      <c r="A91" s="128" t="s">
        <v>347</v>
      </c>
      <c r="B91" s="129">
        <v>3250</v>
      </c>
      <c r="C91" s="129">
        <v>40746</v>
      </c>
      <c r="D91" s="129"/>
      <c r="E91" s="129"/>
      <c r="F91" s="130"/>
      <c r="G91" s="131" t="s">
        <v>302</v>
      </c>
      <c r="H91" s="131" t="s">
        <v>120</v>
      </c>
      <c r="I91" s="131" t="s">
        <v>120</v>
      </c>
      <c r="J91" s="131" t="s">
        <v>348</v>
      </c>
      <c r="K91" s="131" t="s">
        <v>156</v>
      </c>
      <c r="L91" s="177">
        <v>17</v>
      </c>
      <c r="M91" s="131" t="str">
        <f>_xlfn.XLOOKUP(L91,[1]Auslegungsgrundlagen!$A$9:$A$100,[1]Auslegungsgrundlagen!$B$9:$B$100)</f>
        <v>Treppenhäuser/Magistrale</v>
      </c>
      <c r="N91" s="132">
        <v>57</v>
      </c>
      <c r="O91" s="132">
        <v>170.76</v>
      </c>
      <c r="P91" s="133">
        <v>0</v>
      </c>
      <c r="Q91" s="134"/>
      <c r="R91" s="135">
        <f>_xlfn.XLOOKUP(L91,[1]Auslegungsgrundlagen!$A$9:$A$100,[1]Auslegungsgrundlagen!$M$9:$M$100)</f>
        <v>0</v>
      </c>
      <c r="S91" s="136">
        <f>_xlfn.XLOOKUP(L91,[1]Auslegungsgrundlagen!$A$9:$A$100,[1]Auslegungsgrundlagen!$Q$9:$Q$100)*P91</f>
        <v>0</v>
      </c>
      <c r="T91" s="137">
        <v>0</v>
      </c>
      <c r="U91" s="137">
        <v>0</v>
      </c>
      <c r="V91" s="138">
        <v>0</v>
      </c>
      <c r="W91" s="139">
        <f t="shared" si="45"/>
        <v>0</v>
      </c>
      <c r="X91" s="140" t="s">
        <v>120</v>
      </c>
      <c r="Y91" s="137" t="s">
        <v>120</v>
      </c>
      <c r="Z91" s="141">
        <v>0</v>
      </c>
      <c r="AA91" s="142">
        <f t="shared" si="46"/>
        <v>0</v>
      </c>
      <c r="AB91" s="140" t="s">
        <v>120</v>
      </c>
      <c r="AC91" s="143" t="s">
        <v>120</v>
      </c>
      <c r="AD91" s="144">
        <v>0</v>
      </c>
      <c r="AE91" s="145">
        <f t="shared" si="47"/>
        <v>0</v>
      </c>
      <c r="AF91" s="146"/>
      <c r="AG91" s="140" t="s">
        <v>120</v>
      </c>
      <c r="AH91" s="143" t="s">
        <v>120</v>
      </c>
      <c r="AI91" s="144">
        <v>0</v>
      </c>
      <c r="AJ91" s="145">
        <f t="shared" si="48"/>
        <v>0</v>
      </c>
      <c r="AK91" s="146"/>
      <c r="AL91" s="147">
        <f t="shared" si="49"/>
        <v>0</v>
      </c>
      <c r="AM91" s="140" t="s">
        <v>120</v>
      </c>
      <c r="AN91" s="143" t="s">
        <v>120</v>
      </c>
      <c r="AO91" s="144">
        <v>0</v>
      </c>
      <c r="AP91" s="148">
        <v>0</v>
      </c>
      <c r="AQ91" s="142">
        <f t="shared" si="50"/>
        <v>0</v>
      </c>
      <c r="AR91" s="140" t="s">
        <v>120</v>
      </c>
      <c r="AS91" s="143" t="s">
        <v>120</v>
      </c>
      <c r="AT91" s="144">
        <v>0</v>
      </c>
      <c r="AU91" s="149">
        <v>0</v>
      </c>
      <c r="AV91" s="145">
        <f t="shared" si="51"/>
        <v>0</v>
      </c>
      <c r="AW91" s="146"/>
      <c r="AX91" s="140" t="s">
        <v>120</v>
      </c>
      <c r="AY91" s="143" t="s">
        <v>120</v>
      </c>
      <c r="AZ91" s="144">
        <v>0</v>
      </c>
      <c r="BA91" s="149">
        <v>0</v>
      </c>
      <c r="BB91" s="145">
        <f t="shared" si="52"/>
        <v>0</v>
      </c>
      <c r="BC91" s="150"/>
      <c r="BD91" s="151">
        <f t="shared" si="53"/>
        <v>0</v>
      </c>
      <c r="BE91" s="152">
        <f t="shared" si="54"/>
        <v>0</v>
      </c>
      <c r="BF91" s="140" t="s">
        <v>120</v>
      </c>
      <c r="BG91" s="153" t="s">
        <v>120</v>
      </c>
      <c r="BH91" s="154" t="s">
        <v>120</v>
      </c>
      <c r="BI91" s="155" t="s">
        <v>120</v>
      </c>
      <c r="BJ91" s="156" t="s">
        <v>120</v>
      </c>
      <c r="BK91" s="157"/>
      <c r="BL91" s="158">
        <f>_xlfn.XLOOKUP(L91,[1]Auslegungsgrundlagen!$A$9:$A$100,[1]Auslegungsgrundlagen!$U$9:$U$100)</f>
        <v>25</v>
      </c>
      <c r="BM91" s="137">
        <v>0</v>
      </c>
      <c r="BN91" s="159">
        <v>0</v>
      </c>
      <c r="BO91" s="152">
        <f t="shared" si="55"/>
        <v>1.43</v>
      </c>
      <c r="BP91" s="140" t="s">
        <v>12</v>
      </c>
      <c r="BQ91" s="143">
        <f t="shared" ref="BQ91" si="62">BO91*1000</f>
        <v>1430</v>
      </c>
      <c r="BR91" s="160">
        <v>1</v>
      </c>
      <c r="BS91" s="142">
        <f t="shared" si="56"/>
        <v>1.43</v>
      </c>
      <c r="BT91" s="140" t="s">
        <v>120</v>
      </c>
      <c r="BU91" s="143" t="s">
        <v>120</v>
      </c>
      <c r="BV91" s="160">
        <v>0</v>
      </c>
      <c r="BW91" s="145">
        <f t="shared" si="57"/>
        <v>0</v>
      </c>
      <c r="BX91" s="146"/>
      <c r="BY91" s="140" t="s">
        <v>120</v>
      </c>
      <c r="BZ91" s="143" t="s">
        <v>120</v>
      </c>
      <c r="CA91" s="160">
        <v>0</v>
      </c>
      <c r="CB91" s="145">
        <f t="shared" si="58"/>
        <v>0</v>
      </c>
      <c r="CC91" s="146"/>
      <c r="CD91" s="151">
        <f t="shared" si="59"/>
        <v>1.43</v>
      </c>
      <c r="CE91" s="161" t="s">
        <v>120</v>
      </c>
      <c r="CF91" s="162" t="s">
        <v>120</v>
      </c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ht="12.3">
      <c r="A92" s="128" t="s">
        <v>341</v>
      </c>
      <c r="B92" s="129">
        <v>3250</v>
      </c>
      <c r="C92" s="129">
        <v>12372</v>
      </c>
      <c r="D92" s="129"/>
      <c r="E92" s="129"/>
      <c r="F92" s="130"/>
      <c r="G92" s="131" t="s">
        <v>302</v>
      </c>
      <c r="H92" s="131" t="s">
        <v>120</v>
      </c>
      <c r="I92" s="131" t="s">
        <v>120</v>
      </c>
      <c r="J92" s="131" t="s">
        <v>342</v>
      </c>
      <c r="K92" s="131" t="s">
        <v>343</v>
      </c>
      <c r="L92" s="177">
        <v>21</v>
      </c>
      <c r="M92" s="131" t="str">
        <f>_xlfn.XLOOKUP(L92,[1]Auslegungsgrundlagen!$A$9:$A$100,[1]Auslegungsgrundlagen!$B$9:$B$100)</f>
        <v>Diele</v>
      </c>
      <c r="N92" s="132">
        <v>10</v>
      </c>
      <c r="O92" s="132">
        <v>28.6</v>
      </c>
      <c r="P92" s="133">
        <v>0</v>
      </c>
      <c r="Q92" s="134"/>
      <c r="R92" s="135">
        <f>_xlfn.XLOOKUP(L92,[1]Auslegungsgrundlagen!$A$9:$A$100,[1]Auslegungsgrundlagen!$M$9:$M$100)</f>
        <v>0</v>
      </c>
      <c r="S92" s="136">
        <f>_xlfn.XLOOKUP(L92,[1]Auslegungsgrundlagen!$A$9:$A$100,[1]Auslegungsgrundlagen!$Q$9:$Q$100)*P92</f>
        <v>0</v>
      </c>
      <c r="T92" s="137">
        <v>0</v>
      </c>
      <c r="U92" s="137">
        <v>0</v>
      </c>
      <c r="V92" s="138">
        <v>0</v>
      </c>
      <c r="W92" s="139">
        <f t="shared" si="45"/>
        <v>0</v>
      </c>
      <c r="X92" s="140" t="s">
        <v>120</v>
      </c>
      <c r="Y92" s="137" t="s">
        <v>120</v>
      </c>
      <c r="Z92" s="141">
        <v>0</v>
      </c>
      <c r="AA92" s="142">
        <f t="shared" si="46"/>
        <v>0</v>
      </c>
      <c r="AB92" s="140" t="s">
        <v>120</v>
      </c>
      <c r="AC92" s="143" t="s">
        <v>120</v>
      </c>
      <c r="AD92" s="144">
        <v>0</v>
      </c>
      <c r="AE92" s="145">
        <f t="shared" si="47"/>
        <v>0</v>
      </c>
      <c r="AF92" s="146"/>
      <c r="AG92" s="140" t="s">
        <v>120</v>
      </c>
      <c r="AH92" s="143" t="s">
        <v>120</v>
      </c>
      <c r="AI92" s="144">
        <v>0</v>
      </c>
      <c r="AJ92" s="145">
        <f t="shared" si="48"/>
        <v>0</v>
      </c>
      <c r="AK92" s="146"/>
      <c r="AL92" s="147">
        <f t="shared" si="49"/>
        <v>0</v>
      </c>
      <c r="AM92" s="140" t="s">
        <v>120</v>
      </c>
      <c r="AN92" s="143" t="s">
        <v>120</v>
      </c>
      <c r="AO92" s="144">
        <v>0</v>
      </c>
      <c r="AP92" s="148">
        <v>0</v>
      </c>
      <c r="AQ92" s="142">
        <f t="shared" si="50"/>
        <v>0</v>
      </c>
      <c r="AR92" s="140" t="s">
        <v>120</v>
      </c>
      <c r="AS92" s="143" t="s">
        <v>120</v>
      </c>
      <c r="AT92" s="144">
        <v>0</v>
      </c>
      <c r="AU92" s="149">
        <v>0</v>
      </c>
      <c r="AV92" s="145">
        <f t="shared" si="51"/>
        <v>0</v>
      </c>
      <c r="AW92" s="146"/>
      <c r="AX92" s="140" t="s">
        <v>120</v>
      </c>
      <c r="AY92" s="143" t="s">
        <v>120</v>
      </c>
      <c r="AZ92" s="144">
        <v>0</v>
      </c>
      <c r="BA92" s="149">
        <v>0</v>
      </c>
      <c r="BB92" s="145">
        <f t="shared" si="52"/>
        <v>0</v>
      </c>
      <c r="BC92" s="150"/>
      <c r="BD92" s="151">
        <f t="shared" si="53"/>
        <v>0</v>
      </c>
      <c r="BE92" s="152">
        <f t="shared" si="54"/>
        <v>0</v>
      </c>
      <c r="BF92" s="140" t="s">
        <v>120</v>
      </c>
      <c r="BG92" s="153" t="s">
        <v>120</v>
      </c>
      <c r="BH92" s="154" t="s">
        <v>120</v>
      </c>
      <c r="BI92" s="155" t="s">
        <v>120</v>
      </c>
      <c r="BJ92" s="156" t="s">
        <v>120</v>
      </c>
      <c r="BK92" s="157"/>
      <c r="BL92" s="158">
        <f>_xlfn.XLOOKUP(L92,[1]Auslegungsgrundlagen!$A$9:$A$100,[1]Auslegungsgrundlagen!$U$9:$U$100)</f>
        <v>40</v>
      </c>
      <c r="BM92" s="137">
        <v>0</v>
      </c>
      <c r="BN92" s="159">
        <v>0</v>
      </c>
      <c r="BO92" s="152">
        <f t="shared" si="55"/>
        <v>0.4</v>
      </c>
      <c r="BP92" s="140" t="s">
        <v>12</v>
      </c>
      <c r="BQ92" s="143">
        <f>BO92*1000</f>
        <v>400</v>
      </c>
      <c r="BR92" s="160">
        <v>1</v>
      </c>
      <c r="BS92" s="142">
        <f t="shared" si="56"/>
        <v>0.4</v>
      </c>
      <c r="BT92" s="140" t="s">
        <v>120</v>
      </c>
      <c r="BU92" s="143" t="s">
        <v>120</v>
      </c>
      <c r="BV92" s="160">
        <v>0</v>
      </c>
      <c r="BW92" s="145">
        <f t="shared" si="57"/>
        <v>0</v>
      </c>
      <c r="BX92" s="146"/>
      <c r="BY92" s="140" t="s">
        <v>120</v>
      </c>
      <c r="BZ92" s="143" t="s">
        <v>120</v>
      </c>
      <c r="CA92" s="160">
        <v>0</v>
      </c>
      <c r="CB92" s="145">
        <f t="shared" si="58"/>
        <v>0</v>
      </c>
      <c r="CC92" s="146"/>
      <c r="CD92" s="151">
        <f t="shared" si="59"/>
        <v>0.4</v>
      </c>
      <c r="CE92" s="161" t="s">
        <v>120</v>
      </c>
      <c r="CF92" s="162" t="s">
        <v>120</v>
      </c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ht="12.3">
      <c r="A93" s="128" t="s">
        <v>339</v>
      </c>
      <c r="B93" s="129">
        <v>3250</v>
      </c>
      <c r="C93" s="129">
        <v>11812</v>
      </c>
      <c r="D93" s="129"/>
      <c r="E93" s="129"/>
      <c r="F93" s="130"/>
      <c r="G93" s="131" t="s">
        <v>302</v>
      </c>
      <c r="H93" s="131" t="s">
        <v>120</v>
      </c>
      <c r="I93" s="131" t="s">
        <v>120</v>
      </c>
      <c r="J93" s="131" t="s">
        <v>340</v>
      </c>
      <c r="K93" s="131" t="s">
        <v>122</v>
      </c>
      <c r="L93" s="177">
        <v>19</v>
      </c>
      <c r="M93" s="131" t="str">
        <f>_xlfn.XLOOKUP(L93,[1]Auslegungsgrundlagen!$A$9:$A$100,[1]Auslegungsgrundlagen!$B$9:$B$100)</f>
        <v>Aufzüge</v>
      </c>
      <c r="N93" s="132">
        <v>9</v>
      </c>
      <c r="O93" s="132">
        <v>26.16</v>
      </c>
      <c r="P93" s="133">
        <v>0</v>
      </c>
      <c r="Q93" s="134"/>
      <c r="R93" s="135">
        <f>_xlfn.XLOOKUP(L93,[1]Auslegungsgrundlagen!$A$9:$A$100,[1]Auslegungsgrundlagen!$M$9:$M$100)</f>
        <v>0</v>
      </c>
      <c r="S93" s="136">
        <f>_xlfn.XLOOKUP(L93,[1]Auslegungsgrundlagen!$A$9:$A$100,[1]Auslegungsgrundlagen!$Q$9:$Q$100)*P93</f>
        <v>0</v>
      </c>
      <c r="T93" s="137">
        <v>0</v>
      </c>
      <c r="U93" s="137">
        <v>0</v>
      </c>
      <c r="V93" s="138">
        <v>0</v>
      </c>
      <c r="W93" s="139">
        <f t="shared" si="45"/>
        <v>0</v>
      </c>
      <c r="X93" s="140" t="s">
        <v>120</v>
      </c>
      <c r="Y93" s="137" t="s">
        <v>120</v>
      </c>
      <c r="Z93" s="141">
        <v>0</v>
      </c>
      <c r="AA93" s="142">
        <f t="shared" si="46"/>
        <v>0</v>
      </c>
      <c r="AB93" s="140" t="s">
        <v>120</v>
      </c>
      <c r="AC93" s="143" t="s">
        <v>120</v>
      </c>
      <c r="AD93" s="144">
        <v>0</v>
      </c>
      <c r="AE93" s="145">
        <f t="shared" si="47"/>
        <v>0</v>
      </c>
      <c r="AF93" s="146"/>
      <c r="AG93" s="140" t="s">
        <v>120</v>
      </c>
      <c r="AH93" s="143" t="s">
        <v>120</v>
      </c>
      <c r="AI93" s="144">
        <v>0</v>
      </c>
      <c r="AJ93" s="145">
        <f t="shared" si="48"/>
        <v>0</v>
      </c>
      <c r="AK93" s="146"/>
      <c r="AL93" s="147">
        <f t="shared" si="49"/>
        <v>0</v>
      </c>
      <c r="AM93" s="140" t="s">
        <v>120</v>
      </c>
      <c r="AN93" s="143" t="s">
        <v>120</v>
      </c>
      <c r="AO93" s="144">
        <v>0</v>
      </c>
      <c r="AP93" s="148">
        <v>0</v>
      </c>
      <c r="AQ93" s="142">
        <f t="shared" si="50"/>
        <v>0</v>
      </c>
      <c r="AR93" s="140" t="s">
        <v>120</v>
      </c>
      <c r="AS93" s="143" t="s">
        <v>120</v>
      </c>
      <c r="AT93" s="144">
        <v>0</v>
      </c>
      <c r="AU93" s="149">
        <v>0</v>
      </c>
      <c r="AV93" s="145">
        <f t="shared" si="51"/>
        <v>0</v>
      </c>
      <c r="AW93" s="146"/>
      <c r="AX93" s="140" t="s">
        <v>120</v>
      </c>
      <c r="AY93" s="143" t="s">
        <v>120</v>
      </c>
      <c r="AZ93" s="144">
        <v>0</v>
      </c>
      <c r="BA93" s="149">
        <v>0</v>
      </c>
      <c r="BB93" s="145">
        <f t="shared" si="52"/>
        <v>0</v>
      </c>
      <c r="BC93" s="150"/>
      <c r="BD93" s="151">
        <f t="shared" si="53"/>
        <v>0</v>
      </c>
      <c r="BE93" s="152">
        <f t="shared" si="54"/>
        <v>0</v>
      </c>
      <c r="BF93" s="140" t="s">
        <v>120</v>
      </c>
      <c r="BG93" s="153" t="s">
        <v>120</v>
      </c>
      <c r="BH93" s="154" t="s">
        <v>120</v>
      </c>
      <c r="BI93" s="155" t="s">
        <v>120</v>
      </c>
      <c r="BJ93" s="156" t="s">
        <v>120</v>
      </c>
      <c r="BK93" s="157"/>
      <c r="BL93" s="158">
        <f>_xlfn.XLOOKUP(L93,[1]Auslegungsgrundlagen!$A$9:$A$100,[1]Auslegungsgrundlagen!$U$9:$U$100)</f>
        <v>0</v>
      </c>
      <c r="BM93" s="137">
        <v>0</v>
      </c>
      <c r="BN93" s="159">
        <v>0</v>
      </c>
      <c r="BO93" s="152">
        <f t="shared" si="55"/>
        <v>0</v>
      </c>
      <c r="BP93" s="140" t="s">
        <v>120</v>
      </c>
      <c r="BQ93" s="143" t="s">
        <v>120</v>
      </c>
      <c r="BR93" s="160">
        <v>0</v>
      </c>
      <c r="BS93" s="142">
        <f t="shared" si="56"/>
        <v>0</v>
      </c>
      <c r="BT93" s="140" t="s">
        <v>120</v>
      </c>
      <c r="BU93" s="143" t="s">
        <v>120</v>
      </c>
      <c r="BV93" s="160">
        <v>0</v>
      </c>
      <c r="BW93" s="145">
        <f t="shared" si="57"/>
        <v>0</v>
      </c>
      <c r="BX93" s="146"/>
      <c r="BY93" s="140" t="s">
        <v>120</v>
      </c>
      <c r="BZ93" s="143" t="s">
        <v>120</v>
      </c>
      <c r="CA93" s="160">
        <v>0</v>
      </c>
      <c r="CB93" s="145">
        <f t="shared" si="58"/>
        <v>0</v>
      </c>
      <c r="CC93" s="146"/>
      <c r="CD93" s="151">
        <f t="shared" si="59"/>
        <v>0</v>
      </c>
      <c r="CE93" s="161" t="s">
        <v>120</v>
      </c>
      <c r="CF93" s="162" t="s">
        <v>120</v>
      </c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ht="12.3">
      <c r="A94" s="128" t="s">
        <v>312</v>
      </c>
      <c r="B94" s="129">
        <v>3250</v>
      </c>
      <c r="C94" s="129">
        <v>7328</v>
      </c>
      <c r="D94" s="129"/>
      <c r="E94" s="129"/>
      <c r="F94" s="130"/>
      <c r="G94" s="131" t="s">
        <v>302</v>
      </c>
      <c r="H94" s="131" t="s">
        <v>120</v>
      </c>
      <c r="I94" s="131" t="s">
        <v>120</v>
      </c>
      <c r="J94" s="131" t="s">
        <v>313</v>
      </c>
      <c r="K94" s="131" t="s">
        <v>174</v>
      </c>
      <c r="L94" s="177">
        <v>8</v>
      </c>
      <c r="M94" s="131" t="str">
        <f>_xlfn.XLOOKUP(L94,[1]Auslegungsgrundlagen!$A$9:$A$100,[1]Auslegungsgrundlagen!$B$9:$B$100)</f>
        <v>WCs</v>
      </c>
      <c r="N94" s="132">
        <v>3</v>
      </c>
      <c r="O94" s="132">
        <v>10.050000000000001</v>
      </c>
      <c r="P94" s="133">
        <v>0</v>
      </c>
      <c r="Q94" s="134"/>
      <c r="R94" s="135">
        <f>_xlfn.XLOOKUP(L94,[1]Auslegungsgrundlagen!$A$9:$A$100,[1]Auslegungsgrundlagen!$M$9:$M$100)</f>
        <v>0</v>
      </c>
      <c r="S94" s="136">
        <f>_xlfn.XLOOKUP(L94,[1]Auslegungsgrundlagen!$A$9:$A$100,[1]Auslegungsgrundlagen!$Q$9:$Q$100)*P94</f>
        <v>0</v>
      </c>
      <c r="T94" s="137">
        <v>0</v>
      </c>
      <c r="U94" s="137">
        <v>0</v>
      </c>
      <c r="V94" s="138">
        <v>0</v>
      </c>
      <c r="W94" s="139">
        <f t="shared" si="45"/>
        <v>0</v>
      </c>
      <c r="X94" s="140" t="s">
        <v>120</v>
      </c>
      <c r="Y94" s="137" t="s">
        <v>120</v>
      </c>
      <c r="Z94" s="141">
        <v>0</v>
      </c>
      <c r="AA94" s="142">
        <f t="shared" si="46"/>
        <v>0</v>
      </c>
      <c r="AB94" s="140" t="s">
        <v>120</v>
      </c>
      <c r="AC94" s="143" t="s">
        <v>120</v>
      </c>
      <c r="AD94" s="144">
        <v>0</v>
      </c>
      <c r="AE94" s="145">
        <f t="shared" si="47"/>
        <v>0</v>
      </c>
      <c r="AF94" s="146"/>
      <c r="AG94" s="140" t="s">
        <v>120</v>
      </c>
      <c r="AH94" s="143" t="s">
        <v>120</v>
      </c>
      <c r="AI94" s="144">
        <v>0</v>
      </c>
      <c r="AJ94" s="145">
        <f t="shared" si="48"/>
        <v>0</v>
      </c>
      <c r="AK94" s="146"/>
      <c r="AL94" s="147">
        <f t="shared" si="49"/>
        <v>0</v>
      </c>
      <c r="AM94" s="140" t="s">
        <v>120</v>
      </c>
      <c r="AN94" s="143" t="s">
        <v>120</v>
      </c>
      <c r="AO94" s="144">
        <v>0</v>
      </c>
      <c r="AP94" s="148">
        <v>0</v>
      </c>
      <c r="AQ94" s="142">
        <f t="shared" si="50"/>
        <v>0</v>
      </c>
      <c r="AR94" s="140" t="s">
        <v>120</v>
      </c>
      <c r="AS94" s="143" t="s">
        <v>120</v>
      </c>
      <c r="AT94" s="144">
        <v>0</v>
      </c>
      <c r="AU94" s="149">
        <v>0</v>
      </c>
      <c r="AV94" s="145">
        <f t="shared" si="51"/>
        <v>0</v>
      </c>
      <c r="AW94" s="146"/>
      <c r="AX94" s="140" t="s">
        <v>120</v>
      </c>
      <c r="AY94" s="143" t="s">
        <v>120</v>
      </c>
      <c r="AZ94" s="144">
        <v>0</v>
      </c>
      <c r="BA94" s="149">
        <v>0</v>
      </c>
      <c r="BB94" s="145">
        <f t="shared" si="52"/>
        <v>0</v>
      </c>
      <c r="BC94" s="150"/>
      <c r="BD94" s="151">
        <f t="shared" si="53"/>
        <v>0</v>
      </c>
      <c r="BE94" s="152">
        <f t="shared" si="54"/>
        <v>0</v>
      </c>
      <c r="BF94" s="140" t="s">
        <v>120</v>
      </c>
      <c r="BG94" s="153" t="s">
        <v>120</v>
      </c>
      <c r="BH94" s="154" t="s">
        <v>120</v>
      </c>
      <c r="BI94" s="155" t="s">
        <v>120</v>
      </c>
      <c r="BJ94" s="156" t="s">
        <v>120</v>
      </c>
      <c r="BK94" s="157"/>
      <c r="BL94" s="158">
        <f>_xlfn.XLOOKUP(L94,[1]Auslegungsgrundlagen!$A$9:$A$100,[1]Auslegungsgrundlagen!$U$9:$U$100)</f>
        <v>30</v>
      </c>
      <c r="BM94" s="137">
        <v>0</v>
      </c>
      <c r="BN94" s="159">
        <v>0</v>
      </c>
      <c r="BO94" s="152">
        <f t="shared" si="55"/>
        <v>0.09</v>
      </c>
      <c r="BP94" s="140"/>
      <c r="BQ94" s="143"/>
      <c r="BR94" s="160">
        <v>0</v>
      </c>
      <c r="BS94" s="142">
        <f t="shared" si="56"/>
        <v>0</v>
      </c>
      <c r="BT94" s="140" t="s">
        <v>120</v>
      </c>
      <c r="BU94" s="143" t="s">
        <v>120</v>
      </c>
      <c r="BV94" s="160">
        <v>0</v>
      </c>
      <c r="BW94" s="145">
        <f t="shared" si="57"/>
        <v>0</v>
      </c>
      <c r="BX94" s="146"/>
      <c r="BY94" s="140" t="s">
        <v>120</v>
      </c>
      <c r="BZ94" s="143" t="s">
        <v>120</v>
      </c>
      <c r="CA94" s="160">
        <v>0</v>
      </c>
      <c r="CB94" s="145">
        <f t="shared" si="58"/>
        <v>0</v>
      </c>
      <c r="CC94" s="146"/>
      <c r="CD94" s="151">
        <f t="shared" si="59"/>
        <v>0</v>
      </c>
      <c r="CE94" s="161" t="s">
        <v>120</v>
      </c>
      <c r="CF94" s="162" t="s">
        <v>120</v>
      </c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ht="12.3">
      <c r="A95" s="128" t="s">
        <v>310</v>
      </c>
      <c r="B95" s="129">
        <v>3250</v>
      </c>
      <c r="C95" s="129">
        <v>5317</v>
      </c>
      <c r="D95" s="129"/>
      <c r="E95" s="129"/>
      <c r="F95" s="130"/>
      <c r="G95" s="131" t="s">
        <v>302</v>
      </c>
      <c r="H95" s="131" t="s">
        <v>120</v>
      </c>
      <c r="I95" s="131" t="s">
        <v>120</v>
      </c>
      <c r="J95" s="131" t="s">
        <v>311</v>
      </c>
      <c r="K95" s="131" t="s">
        <v>171</v>
      </c>
      <c r="L95" s="177">
        <v>10</v>
      </c>
      <c r="M95" s="131" t="str">
        <f>_xlfn.XLOOKUP(L95,[1]Auslegungsgrundlagen!$A$9:$A$100,[1]Auslegungsgrundlagen!$B$9:$B$100)</f>
        <v>Putzmittel/ Lager</v>
      </c>
      <c r="N95" s="132">
        <v>2</v>
      </c>
      <c r="O95" s="132">
        <v>4.75</v>
      </c>
      <c r="P95" s="133">
        <v>0</v>
      </c>
      <c r="Q95" s="134"/>
      <c r="R95" s="135">
        <f>_xlfn.XLOOKUP(L95,[1]Auslegungsgrundlagen!$A$9:$A$100,[1]Auslegungsgrundlagen!$M$9:$M$100)</f>
        <v>0</v>
      </c>
      <c r="S95" s="136">
        <f>_xlfn.XLOOKUP(L95,[1]Auslegungsgrundlagen!$A$9:$A$100,[1]Auslegungsgrundlagen!$Q$9:$Q$100)*P95</f>
        <v>0</v>
      </c>
      <c r="T95" s="137">
        <v>0</v>
      </c>
      <c r="U95" s="137">
        <v>0</v>
      </c>
      <c r="V95" s="138">
        <v>0</v>
      </c>
      <c r="W95" s="139">
        <f t="shared" si="45"/>
        <v>0</v>
      </c>
      <c r="X95" s="140" t="s">
        <v>120</v>
      </c>
      <c r="Y95" s="137" t="s">
        <v>120</v>
      </c>
      <c r="Z95" s="141">
        <v>0</v>
      </c>
      <c r="AA95" s="142">
        <f t="shared" si="46"/>
        <v>0</v>
      </c>
      <c r="AB95" s="140" t="s">
        <v>120</v>
      </c>
      <c r="AC95" s="143" t="s">
        <v>120</v>
      </c>
      <c r="AD95" s="144">
        <v>0</v>
      </c>
      <c r="AE95" s="145">
        <f t="shared" si="47"/>
        <v>0</v>
      </c>
      <c r="AF95" s="146"/>
      <c r="AG95" s="140" t="s">
        <v>120</v>
      </c>
      <c r="AH95" s="143" t="s">
        <v>120</v>
      </c>
      <c r="AI95" s="144">
        <v>0</v>
      </c>
      <c r="AJ95" s="145">
        <f t="shared" si="48"/>
        <v>0</v>
      </c>
      <c r="AK95" s="146"/>
      <c r="AL95" s="147">
        <f t="shared" si="49"/>
        <v>0</v>
      </c>
      <c r="AM95" s="140" t="s">
        <v>120</v>
      </c>
      <c r="AN95" s="143" t="s">
        <v>120</v>
      </c>
      <c r="AO95" s="144">
        <v>0</v>
      </c>
      <c r="AP95" s="148">
        <v>0</v>
      </c>
      <c r="AQ95" s="142">
        <f t="shared" si="50"/>
        <v>0</v>
      </c>
      <c r="AR95" s="140" t="s">
        <v>120</v>
      </c>
      <c r="AS95" s="143" t="s">
        <v>120</v>
      </c>
      <c r="AT95" s="144">
        <v>0</v>
      </c>
      <c r="AU95" s="149">
        <v>0</v>
      </c>
      <c r="AV95" s="145">
        <f t="shared" si="51"/>
        <v>0</v>
      </c>
      <c r="AW95" s="146"/>
      <c r="AX95" s="140" t="s">
        <v>120</v>
      </c>
      <c r="AY95" s="143" t="s">
        <v>120</v>
      </c>
      <c r="AZ95" s="144">
        <v>0</v>
      </c>
      <c r="BA95" s="149">
        <v>0</v>
      </c>
      <c r="BB95" s="145">
        <f t="shared" si="52"/>
        <v>0</v>
      </c>
      <c r="BC95" s="150"/>
      <c r="BD95" s="151">
        <f t="shared" si="53"/>
        <v>0</v>
      </c>
      <c r="BE95" s="152">
        <f t="shared" si="54"/>
        <v>0</v>
      </c>
      <c r="BF95" s="140" t="s">
        <v>120</v>
      </c>
      <c r="BG95" s="153" t="s">
        <v>120</v>
      </c>
      <c r="BH95" s="154" t="s">
        <v>120</v>
      </c>
      <c r="BI95" s="155" t="s">
        <v>120</v>
      </c>
      <c r="BJ95" s="156" t="s">
        <v>120</v>
      </c>
      <c r="BK95" s="157"/>
      <c r="BL95" s="158">
        <f>_xlfn.XLOOKUP(L95,[1]Auslegungsgrundlagen!$A$9:$A$100,[1]Auslegungsgrundlagen!$U$9:$U$100)</f>
        <v>15</v>
      </c>
      <c r="BM95" s="137">
        <v>0</v>
      </c>
      <c r="BN95" s="159">
        <v>0</v>
      </c>
      <c r="BO95" s="152">
        <f t="shared" si="55"/>
        <v>0.03</v>
      </c>
      <c r="BP95" s="140"/>
      <c r="BQ95" s="143"/>
      <c r="BR95" s="160"/>
      <c r="BS95" s="142">
        <f t="shared" si="56"/>
        <v>0</v>
      </c>
      <c r="BT95" s="140" t="s">
        <v>120</v>
      </c>
      <c r="BU95" s="143" t="s">
        <v>120</v>
      </c>
      <c r="BV95" s="160">
        <v>0</v>
      </c>
      <c r="BW95" s="145">
        <f t="shared" si="57"/>
        <v>0</v>
      </c>
      <c r="BX95" s="146"/>
      <c r="BY95" s="140" t="s">
        <v>120</v>
      </c>
      <c r="BZ95" s="143" t="s">
        <v>120</v>
      </c>
      <c r="CA95" s="160">
        <v>0</v>
      </c>
      <c r="CB95" s="145">
        <f t="shared" si="58"/>
        <v>0</v>
      </c>
      <c r="CC95" s="146"/>
      <c r="CD95" s="151">
        <f t="shared" si="59"/>
        <v>0</v>
      </c>
      <c r="CE95" s="161" t="s">
        <v>120</v>
      </c>
      <c r="CF95" s="162" t="s">
        <v>120</v>
      </c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ht="12.3">
      <c r="A96" s="128" t="s">
        <v>306</v>
      </c>
      <c r="B96" s="129">
        <v>3250</v>
      </c>
      <c r="C96" s="129">
        <v>5535</v>
      </c>
      <c r="D96" s="129"/>
      <c r="E96" s="129"/>
      <c r="F96" s="130"/>
      <c r="G96" s="131" t="s">
        <v>302</v>
      </c>
      <c r="H96" s="131" t="s">
        <v>120</v>
      </c>
      <c r="I96" s="131" t="s">
        <v>120</v>
      </c>
      <c r="J96" s="131" t="s">
        <v>307</v>
      </c>
      <c r="K96" s="131" t="s">
        <v>184</v>
      </c>
      <c r="L96" s="177">
        <v>8</v>
      </c>
      <c r="M96" s="131" t="str">
        <f>_xlfn.XLOOKUP(L96,[1]Auslegungsgrundlagen!$A$9:$A$100,[1]Auslegungsgrundlagen!$B$9:$B$100)</f>
        <v>WCs</v>
      </c>
      <c r="N96" s="132">
        <v>2</v>
      </c>
      <c r="O96" s="132">
        <v>5.3</v>
      </c>
      <c r="P96" s="133">
        <v>0</v>
      </c>
      <c r="Q96" s="134"/>
      <c r="R96" s="135">
        <f>_xlfn.XLOOKUP(L96,[1]Auslegungsgrundlagen!$A$9:$A$100,[1]Auslegungsgrundlagen!$M$9:$M$100)</f>
        <v>0</v>
      </c>
      <c r="S96" s="136">
        <f>_xlfn.XLOOKUP(L96,[1]Auslegungsgrundlagen!$A$9:$A$100,[1]Auslegungsgrundlagen!$Q$9:$Q$100)*P96</f>
        <v>0</v>
      </c>
      <c r="T96" s="137">
        <v>0</v>
      </c>
      <c r="U96" s="137">
        <v>0</v>
      </c>
      <c r="V96" s="138">
        <v>0</v>
      </c>
      <c r="W96" s="139">
        <f t="shared" si="45"/>
        <v>0</v>
      </c>
      <c r="X96" s="140" t="s">
        <v>120</v>
      </c>
      <c r="Y96" s="137" t="s">
        <v>120</v>
      </c>
      <c r="Z96" s="141">
        <v>0</v>
      </c>
      <c r="AA96" s="142">
        <f t="shared" si="46"/>
        <v>0</v>
      </c>
      <c r="AB96" s="140" t="s">
        <v>120</v>
      </c>
      <c r="AC96" s="143" t="s">
        <v>120</v>
      </c>
      <c r="AD96" s="144">
        <v>0</v>
      </c>
      <c r="AE96" s="145">
        <f t="shared" si="47"/>
        <v>0</v>
      </c>
      <c r="AF96" s="146"/>
      <c r="AG96" s="140" t="s">
        <v>120</v>
      </c>
      <c r="AH96" s="143" t="s">
        <v>120</v>
      </c>
      <c r="AI96" s="144">
        <v>0</v>
      </c>
      <c r="AJ96" s="145">
        <f t="shared" si="48"/>
        <v>0</v>
      </c>
      <c r="AK96" s="146"/>
      <c r="AL96" s="147">
        <f t="shared" si="49"/>
        <v>0</v>
      </c>
      <c r="AM96" s="140" t="s">
        <v>120</v>
      </c>
      <c r="AN96" s="143" t="s">
        <v>120</v>
      </c>
      <c r="AO96" s="144">
        <v>0</v>
      </c>
      <c r="AP96" s="148">
        <v>0</v>
      </c>
      <c r="AQ96" s="142">
        <f t="shared" si="50"/>
        <v>0</v>
      </c>
      <c r="AR96" s="140" t="s">
        <v>120</v>
      </c>
      <c r="AS96" s="143" t="s">
        <v>120</v>
      </c>
      <c r="AT96" s="144">
        <v>0</v>
      </c>
      <c r="AU96" s="149">
        <v>0</v>
      </c>
      <c r="AV96" s="145">
        <f t="shared" si="51"/>
        <v>0</v>
      </c>
      <c r="AW96" s="146"/>
      <c r="AX96" s="140" t="s">
        <v>120</v>
      </c>
      <c r="AY96" s="143" t="s">
        <v>120</v>
      </c>
      <c r="AZ96" s="144">
        <v>0</v>
      </c>
      <c r="BA96" s="149">
        <v>0</v>
      </c>
      <c r="BB96" s="145">
        <f t="shared" si="52"/>
        <v>0</v>
      </c>
      <c r="BC96" s="150"/>
      <c r="BD96" s="151">
        <f t="shared" si="53"/>
        <v>0</v>
      </c>
      <c r="BE96" s="152">
        <f t="shared" si="54"/>
        <v>0</v>
      </c>
      <c r="BF96" s="140" t="s">
        <v>120</v>
      </c>
      <c r="BG96" s="153" t="s">
        <v>120</v>
      </c>
      <c r="BH96" s="154" t="s">
        <v>120</v>
      </c>
      <c r="BI96" s="155" t="s">
        <v>120</v>
      </c>
      <c r="BJ96" s="156" t="s">
        <v>120</v>
      </c>
      <c r="BK96" s="157"/>
      <c r="BL96" s="158">
        <f>_xlfn.XLOOKUP(L96,[1]Auslegungsgrundlagen!$A$9:$A$100,[1]Auslegungsgrundlagen!$U$9:$U$100)</f>
        <v>30</v>
      </c>
      <c r="BM96" s="137">
        <v>0</v>
      </c>
      <c r="BN96" s="159">
        <v>0</v>
      </c>
      <c r="BO96" s="152">
        <f t="shared" si="55"/>
        <v>0.06</v>
      </c>
      <c r="BP96" s="140" t="s">
        <v>12</v>
      </c>
      <c r="BQ96" s="143"/>
      <c r="BR96" s="160"/>
      <c r="BS96" s="142">
        <f t="shared" si="56"/>
        <v>0</v>
      </c>
      <c r="BT96" s="140" t="s">
        <v>120</v>
      </c>
      <c r="BU96" s="143" t="s">
        <v>120</v>
      </c>
      <c r="BV96" s="160">
        <v>0</v>
      </c>
      <c r="BW96" s="145">
        <f t="shared" si="57"/>
        <v>0</v>
      </c>
      <c r="BX96" s="146"/>
      <c r="BY96" s="140" t="s">
        <v>120</v>
      </c>
      <c r="BZ96" s="143" t="s">
        <v>120</v>
      </c>
      <c r="CA96" s="160">
        <v>0</v>
      </c>
      <c r="CB96" s="145">
        <f t="shared" si="58"/>
        <v>0</v>
      </c>
      <c r="CC96" s="146"/>
      <c r="CD96" s="151">
        <f t="shared" si="59"/>
        <v>0</v>
      </c>
      <c r="CE96" s="161" t="s">
        <v>120</v>
      </c>
      <c r="CF96" s="162" t="s">
        <v>120</v>
      </c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ht="12.3">
      <c r="A97" s="128" t="s">
        <v>308</v>
      </c>
      <c r="B97" s="129">
        <v>3250</v>
      </c>
      <c r="C97" s="129">
        <v>7150</v>
      </c>
      <c r="D97" s="129"/>
      <c r="E97" s="129"/>
      <c r="F97" s="130"/>
      <c r="G97" s="131" t="s">
        <v>302</v>
      </c>
      <c r="H97" s="131" t="s">
        <v>120</v>
      </c>
      <c r="I97" s="131" t="s">
        <v>120</v>
      </c>
      <c r="J97" s="131" t="s">
        <v>309</v>
      </c>
      <c r="K97" s="131" t="s">
        <v>184</v>
      </c>
      <c r="L97" s="177">
        <v>8</v>
      </c>
      <c r="M97" s="131" t="str">
        <f>_xlfn.XLOOKUP(L97,[1]Auslegungsgrundlagen!$A$9:$A$100,[1]Auslegungsgrundlagen!$B$9:$B$100)</f>
        <v>WCs</v>
      </c>
      <c r="N97" s="132">
        <v>3</v>
      </c>
      <c r="O97" s="132">
        <v>9.58</v>
      </c>
      <c r="P97" s="133">
        <v>0</v>
      </c>
      <c r="Q97" s="134"/>
      <c r="R97" s="135">
        <f>_xlfn.XLOOKUP(L97,[1]Auslegungsgrundlagen!$A$9:$A$100,[1]Auslegungsgrundlagen!$M$9:$M$100)</f>
        <v>0</v>
      </c>
      <c r="S97" s="136">
        <f>_xlfn.XLOOKUP(L97,[1]Auslegungsgrundlagen!$A$9:$A$100,[1]Auslegungsgrundlagen!$Q$9:$Q$100)*P97</f>
        <v>0</v>
      </c>
      <c r="T97" s="137">
        <v>0</v>
      </c>
      <c r="U97" s="137">
        <v>0</v>
      </c>
      <c r="V97" s="138">
        <v>0</v>
      </c>
      <c r="W97" s="139">
        <f t="shared" si="45"/>
        <v>0</v>
      </c>
      <c r="X97" s="140" t="s">
        <v>120</v>
      </c>
      <c r="Y97" s="137" t="s">
        <v>120</v>
      </c>
      <c r="Z97" s="141">
        <v>0</v>
      </c>
      <c r="AA97" s="142">
        <f t="shared" si="46"/>
        <v>0</v>
      </c>
      <c r="AB97" s="140" t="s">
        <v>120</v>
      </c>
      <c r="AC97" s="143" t="s">
        <v>120</v>
      </c>
      <c r="AD97" s="144">
        <v>0</v>
      </c>
      <c r="AE97" s="145">
        <f t="shared" si="47"/>
        <v>0</v>
      </c>
      <c r="AF97" s="146"/>
      <c r="AG97" s="140" t="s">
        <v>120</v>
      </c>
      <c r="AH97" s="143" t="s">
        <v>120</v>
      </c>
      <c r="AI97" s="144">
        <v>0</v>
      </c>
      <c r="AJ97" s="145">
        <f t="shared" si="48"/>
        <v>0</v>
      </c>
      <c r="AK97" s="146"/>
      <c r="AL97" s="147">
        <f t="shared" si="49"/>
        <v>0</v>
      </c>
      <c r="AM97" s="140" t="s">
        <v>120</v>
      </c>
      <c r="AN97" s="143" t="s">
        <v>120</v>
      </c>
      <c r="AO97" s="144">
        <v>0</v>
      </c>
      <c r="AP97" s="148">
        <v>0</v>
      </c>
      <c r="AQ97" s="142">
        <f t="shared" si="50"/>
        <v>0</v>
      </c>
      <c r="AR97" s="140" t="s">
        <v>120</v>
      </c>
      <c r="AS97" s="143" t="s">
        <v>120</v>
      </c>
      <c r="AT97" s="144">
        <v>0</v>
      </c>
      <c r="AU97" s="149">
        <v>0</v>
      </c>
      <c r="AV97" s="145">
        <f t="shared" si="51"/>
        <v>0</v>
      </c>
      <c r="AW97" s="146"/>
      <c r="AX97" s="140" t="s">
        <v>120</v>
      </c>
      <c r="AY97" s="143" t="s">
        <v>120</v>
      </c>
      <c r="AZ97" s="144">
        <v>0</v>
      </c>
      <c r="BA97" s="149">
        <v>0</v>
      </c>
      <c r="BB97" s="145">
        <f t="shared" si="52"/>
        <v>0</v>
      </c>
      <c r="BC97" s="150"/>
      <c r="BD97" s="151">
        <f t="shared" si="53"/>
        <v>0</v>
      </c>
      <c r="BE97" s="152">
        <f t="shared" si="54"/>
        <v>0</v>
      </c>
      <c r="BF97" s="140" t="s">
        <v>120</v>
      </c>
      <c r="BG97" s="153" t="s">
        <v>120</v>
      </c>
      <c r="BH97" s="154" t="s">
        <v>120</v>
      </c>
      <c r="BI97" s="155" t="s">
        <v>120</v>
      </c>
      <c r="BJ97" s="156" t="s">
        <v>120</v>
      </c>
      <c r="BK97" s="157"/>
      <c r="BL97" s="158">
        <f>_xlfn.XLOOKUP(L97,[1]Auslegungsgrundlagen!$A$9:$A$100,[1]Auslegungsgrundlagen!$U$9:$U$100)</f>
        <v>30</v>
      </c>
      <c r="BM97" s="137">
        <v>0</v>
      </c>
      <c r="BN97" s="159">
        <v>0</v>
      </c>
      <c r="BO97" s="152">
        <f t="shared" si="55"/>
        <v>0.09</v>
      </c>
      <c r="BP97" s="140" t="s">
        <v>12</v>
      </c>
      <c r="BQ97" s="143">
        <v>150</v>
      </c>
      <c r="BR97" s="160">
        <v>1</v>
      </c>
      <c r="BS97" s="142">
        <f t="shared" si="56"/>
        <v>0.15</v>
      </c>
      <c r="BT97" s="140" t="s">
        <v>120</v>
      </c>
      <c r="BU97" s="143" t="s">
        <v>120</v>
      </c>
      <c r="BV97" s="160">
        <v>0</v>
      </c>
      <c r="BW97" s="145">
        <f t="shared" si="57"/>
        <v>0</v>
      </c>
      <c r="BX97" s="146"/>
      <c r="BY97" s="140" t="s">
        <v>120</v>
      </c>
      <c r="BZ97" s="143" t="s">
        <v>120</v>
      </c>
      <c r="CA97" s="160">
        <v>0</v>
      </c>
      <c r="CB97" s="145">
        <f t="shared" si="58"/>
        <v>0</v>
      </c>
      <c r="CC97" s="146"/>
      <c r="CD97" s="151">
        <f t="shared" si="59"/>
        <v>0.15</v>
      </c>
      <c r="CE97" s="161" t="s">
        <v>120</v>
      </c>
      <c r="CF97" s="162" t="s">
        <v>120</v>
      </c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ht="12.3">
      <c r="A98" s="128" t="s">
        <v>337</v>
      </c>
      <c r="B98" s="129">
        <v>3250</v>
      </c>
      <c r="C98" s="129">
        <v>34381</v>
      </c>
      <c r="D98" s="129"/>
      <c r="E98" s="129"/>
      <c r="F98" s="130"/>
      <c r="G98" s="131" t="s">
        <v>302</v>
      </c>
      <c r="H98" s="131" t="s">
        <v>120</v>
      </c>
      <c r="I98" s="131" t="s">
        <v>120</v>
      </c>
      <c r="J98" s="131" t="s">
        <v>338</v>
      </c>
      <c r="K98" s="131" t="s">
        <v>200</v>
      </c>
      <c r="L98" s="177">
        <v>17</v>
      </c>
      <c r="M98" s="131" t="str">
        <f>_xlfn.XLOOKUP(L98,[1]Auslegungsgrundlagen!$A$9:$A$100,[1]Auslegungsgrundlagen!$B$9:$B$100)</f>
        <v>Treppenhäuser/Magistrale</v>
      </c>
      <c r="N98" s="132">
        <v>41</v>
      </c>
      <c r="O98" s="132">
        <v>122.9</v>
      </c>
      <c r="P98" s="133">
        <v>0</v>
      </c>
      <c r="Q98" s="134"/>
      <c r="R98" s="135">
        <f>_xlfn.XLOOKUP(L98,[1]Auslegungsgrundlagen!$A$9:$A$100,[1]Auslegungsgrundlagen!$M$9:$M$100)</f>
        <v>0</v>
      </c>
      <c r="S98" s="136">
        <f>_xlfn.XLOOKUP(L98,[1]Auslegungsgrundlagen!$A$9:$A$100,[1]Auslegungsgrundlagen!$Q$9:$Q$100)*P98</f>
        <v>0</v>
      </c>
      <c r="T98" s="137">
        <v>0</v>
      </c>
      <c r="U98" s="137">
        <v>0</v>
      </c>
      <c r="V98" s="138">
        <v>0</v>
      </c>
      <c r="W98" s="139">
        <f t="shared" si="45"/>
        <v>0</v>
      </c>
      <c r="X98" s="140" t="s">
        <v>120</v>
      </c>
      <c r="Y98" s="137" t="s">
        <v>120</v>
      </c>
      <c r="Z98" s="141">
        <v>0</v>
      </c>
      <c r="AA98" s="142">
        <f t="shared" si="46"/>
        <v>0</v>
      </c>
      <c r="AB98" s="140" t="s">
        <v>120</v>
      </c>
      <c r="AC98" s="143" t="s">
        <v>120</v>
      </c>
      <c r="AD98" s="144">
        <v>0</v>
      </c>
      <c r="AE98" s="145">
        <f t="shared" si="47"/>
        <v>0</v>
      </c>
      <c r="AF98" s="146"/>
      <c r="AG98" s="140" t="s">
        <v>120</v>
      </c>
      <c r="AH98" s="143" t="s">
        <v>120</v>
      </c>
      <c r="AI98" s="144">
        <v>0</v>
      </c>
      <c r="AJ98" s="145">
        <f t="shared" si="48"/>
        <v>0</v>
      </c>
      <c r="AK98" s="146"/>
      <c r="AL98" s="147">
        <f t="shared" si="49"/>
        <v>0</v>
      </c>
      <c r="AM98" s="140" t="s">
        <v>120</v>
      </c>
      <c r="AN98" s="143" t="s">
        <v>120</v>
      </c>
      <c r="AO98" s="144">
        <v>0</v>
      </c>
      <c r="AP98" s="148">
        <v>0</v>
      </c>
      <c r="AQ98" s="142">
        <f t="shared" si="50"/>
        <v>0</v>
      </c>
      <c r="AR98" s="140" t="s">
        <v>120</v>
      </c>
      <c r="AS98" s="143" t="s">
        <v>120</v>
      </c>
      <c r="AT98" s="144">
        <v>0</v>
      </c>
      <c r="AU98" s="149">
        <v>0</v>
      </c>
      <c r="AV98" s="145">
        <f t="shared" si="51"/>
        <v>0</v>
      </c>
      <c r="AW98" s="146"/>
      <c r="AX98" s="140" t="s">
        <v>120</v>
      </c>
      <c r="AY98" s="143" t="s">
        <v>120</v>
      </c>
      <c r="AZ98" s="144">
        <v>0</v>
      </c>
      <c r="BA98" s="149">
        <v>0</v>
      </c>
      <c r="BB98" s="145">
        <f t="shared" si="52"/>
        <v>0</v>
      </c>
      <c r="BC98" s="150"/>
      <c r="BD98" s="151">
        <f t="shared" si="53"/>
        <v>0</v>
      </c>
      <c r="BE98" s="152">
        <f t="shared" si="54"/>
        <v>0</v>
      </c>
      <c r="BF98" s="140" t="s">
        <v>120</v>
      </c>
      <c r="BG98" s="153" t="s">
        <v>120</v>
      </c>
      <c r="BH98" s="154" t="s">
        <v>120</v>
      </c>
      <c r="BI98" s="155" t="s">
        <v>120</v>
      </c>
      <c r="BJ98" s="156" t="s">
        <v>120</v>
      </c>
      <c r="BK98" s="157"/>
      <c r="BL98" s="158">
        <f>_xlfn.XLOOKUP(L98,[1]Auslegungsgrundlagen!$A$9:$A$100,[1]Auslegungsgrundlagen!$U$9:$U$100)</f>
        <v>25</v>
      </c>
      <c r="BM98" s="137">
        <v>0</v>
      </c>
      <c r="BN98" s="159">
        <v>0</v>
      </c>
      <c r="BO98" s="152">
        <f t="shared" si="55"/>
        <v>1.03</v>
      </c>
      <c r="BP98" s="140" t="s">
        <v>12</v>
      </c>
      <c r="BQ98" s="143">
        <f t="shared" ref="BQ98" si="63">BO98*1000</f>
        <v>1030</v>
      </c>
      <c r="BR98" s="160">
        <v>1</v>
      </c>
      <c r="BS98" s="142">
        <f t="shared" si="56"/>
        <v>1.03</v>
      </c>
      <c r="BT98" s="140" t="s">
        <v>120</v>
      </c>
      <c r="BU98" s="143" t="s">
        <v>120</v>
      </c>
      <c r="BV98" s="160">
        <v>0</v>
      </c>
      <c r="BW98" s="145">
        <f t="shared" si="57"/>
        <v>0</v>
      </c>
      <c r="BX98" s="146"/>
      <c r="BY98" s="140" t="s">
        <v>120</v>
      </c>
      <c r="BZ98" s="143" t="s">
        <v>120</v>
      </c>
      <c r="CA98" s="160">
        <v>0</v>
      </c>
      <c r="CB98" s="145">
        <f t="shared" si="58"/>
        <v>0</v>
      </c>
      <c r="CC98" s="146"/>
      <c r="CD98" s="151">
        <f t="shared" si="59"/>
        <v>1.03</v>
      </c>
      <c r="CE98" s="161" t="s">
        <v>120</v>
      </c>
      <c r="CF98" s="162" t="s">
        <v>120</v>
      </c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ht="12.3">
      <c r="A99" s="128" t="s">
        <v>335</v>
      </c>
      <c r="B99" s="129">
        <v>3250</v>
      </c>
      <c r="C99" s="129">
        <v>7061</v>
      </c>
      <c r="D99" s="129"/>
      <c r="E99" s="129"/>
      <c r="F99" s="130"/>
      <c r="G99" s="131" t="s">
        <v>302</v>
      </c>
      <c r="H99" s="131" t="s">
        <v>120</v>
      </c>
      <c r="I99" s="131" t="s">
        <v>120</v>
      </c>
      <c r="J99" s="131" t="s">
        <v>336</v>
      </c>
      <c r="K99" s="131" t="s">
        <v>168</v>
      </c>
      <c r="L99" s="177">
        <v>18</v>
      </c>
      <c r="M99" s="131" t="str">
        <f>_xlfn.XLOOKUP(L99,[1]Auslegungsgrundlagen!$A$9:$A$100,[1]Auslegungsgrundlagen!$B$9:$B$100)</f>
        <v>Schächte</v>
      </c>
      <c r="N99" s="132">
        <v>3</v>
      </c>
      <c r="O99" s="132">
        <v>9.2799999999999994</v>
      </c>
      <c r="P99" s="133">
        <v>0</v>
      </c>
      <c r="Q99" s="134"/>
      <c r="R99" s="135">
        <f>_xlfn.XLOOKUP(L99,[1]Auslegungsgrundlagen!$A$9:$A$100,[1]Auslegungsgrundlagen!$M$9:$M$100)</f>
        <v>0</v>
      </c>
      <c r="S99" s="136">
        <f>_xlfn.XLOOKUP(L99,[1]Auslegungsgrundlagen!$A$9:$A$100,[1]Auslegungsgrundlagen!$Q$9:$Q$100)*P99</f>
        <v>0</v>
      </c>
      <c r="T99" s="137">
        <v>0</v>
      </c>
      <c r="U99" s="137">
        <v>0</v>
      </c>
      <c r="V99" s="138">
        <v>0</v>
      </c>
      <c r="W99" s="139">
        <f t="shared" si="45"/>
        <v>0</v>
      </c>
      <c r="X99" s="140" t="s">
        <v>120</v>
      </c>
      <c r="Y99" s="137" t="s">
        <v>120</v>
      </c>
      <c r="Z99" s="141">
        <v>0</v>
      </c>
      <c r="AA99" s="142">
        <f t="shared" si="46"/>
        <v>0</v>
      </c>
      <c r="AB99" s="140" t="s">
        <v>120</v>
      </c>
      <c r="AC99" s="143" t="s">
        <v>120</v>
      </c>
      <c r="AD99" s="144">
        <v>0</v>
      </c>
      <c r="AE99" s="145">
        <f t="shared" si="47"/>
        <v>0</v>
      </c>
      <c r="AF99" s="146"/>
      <c r="AG99" s="140" t="s">
        <v>120</v>
      </c>
      <c r="AH99" s="143" t="s">
        <v>120</v>
      </c>
      <c r="AI99" s="144">
        <v>0</v>
      </c>
      <c r="AJ99" s="145">
        <f t="shared" si="48"/>
        <v>0</v>
      </c>
      <c r="AK99" s="146"/>
      <c r="AL99" s="147">
        <f t="shared" si="49"/>
        <v>0</v>
      </c>
      <c r="AM99" s="140" t="s">
        <v>120</v>
      </c>
      <c r="AN99" s="143" t="s">
        <v>120</v>
      </c>
      <c r="AO99" s="144">
        <v>0</v>
      </c>
      <c r="AP99" s="148">
        <v>0</v>
      </c>
      <c r="AQ99" s="142">
        <f t="shared" si="50"/>
        <v>0</v>
      </c>
      <c r="AR99" s="140" t="s">
        <v>120</v>
      </c>
      <c r="AS99" s="143" t="s">
        <v>120</v>
      </c>
      <c r="AT99" s="144">
        <v>0</v>
      </c>
      <c r="AU99" s="149">
        <v>0</v>
      </c>
      <c r="AV99" s="145">
        <f t="shared" si="51"/>
        <v>0</v>
      </c>
      <c r="AW99" s="146"/>
      <c r="AX99" s="140" t="s">
        <v>120</v>
      </c>
      <c r="AY99" s="143" t="s">
        <v>120</v>
      </c>
      <c r="AZ99" s="144">
        <v>0</v>
      </c>
      <c r="BA99" s="149">
        <v>0</v>
      </c>
      <c r="BB99" s="145">
        <f t="shared" si="52"/>
        <v>0</v>
      </c>
      <c r="BC99" s="150"/>
      <c r="BD99" s="151">
        <f t="shared" si="53"/>
        <v>0</v>
      </c>
      <c r="BE99" s="152">
        <f t="shared" si="54"/>
        <v>0</v>
      </c>
      <c r="BF99" s="140" t="s">
        <v>120</v>
      </c>
      <c r="BG99" s="153" t="s">
        <v>120</v>
      </c>
      <c r="BH99" s="154" t="s">
        <v>120</v>
      </c>
      <c r="BI99" s="155" t="s">
        <v>120</v>
      </c>
      <c r="BJ99" s="156" t="s">
        <v>120</v>
      </c>
      <c r="BK99" s="157"/>
      <c r="BL99" s="158">
        <f>_xlfn.XLOOKUP(L99,[1]Auslegungsgrundlagen!$A$9:$A$100,[1]Auslegungsgrundlagen!$U$9:$U$100)</f>
        <v>0</v>
      </c>
      <c r="BM99" s="137">
        <v>0</v>
      </c>
      <c r="BN99" s="159">
        <v>0</v>
      </c>
      <c r="BO99" s="152">
        <f t="shared" si="55"/>
        <v>0</v>
      </c>
      <c r="BP99" s="140" t="s">
        <v>120</v>
      </c>
      <c r="BQ99" s="143" t="s">
        <v>120</v>
      </c>
      <c r="BR99" s="160">
        <v>0</v>
      </c>
      <c r="BS99" s="142">
        <f t="shared" si="56"/>
        <v>0</v>
      </c>
      <c r="BT99" s="140" t="s">
        <v>120</v>
      </c>
      <c r="BU99" s="143" t="s">
        <v>120</v>
      </c>
      <c r="BV99" s="160">
        <v>0</v>
      </c>
      <c r="BW99" s="145">
        <f t="shared" si="57"/>
        <v>0</v>
      </c>
      <c r="BX99" s="146"/>
      <c r="BY99" s="140" t="s">
        <v>120</v>
      </c>
      <c r="BZ99" s="143" t="s">
        <v>120</v>
      </c>
      <c r="CA99" s="160">
        <v>0</v>
      </c>
      <c r="CB99" s="145">
        <f t="shared" si="58"/>
        <v>0</v>
      </c>
      <c r="CC99" s="146"/>
      <c r="CD99" s="151">
        <f t="shared" si="59"/>
        <v>0</v>
      </c>
      <c r="CE99" s="161" t="s">
        <v>120</v>
      </c>
      <c r="CF99" s="162" t="s">
        <v>120</v>
      </c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ht="12.3">
      <c r="A100" s="128" t="s">
        <v>333</v>
      </c>
      <c r="B100" s="129">
        <v>3250</v>
      </c>
      <c r="C100" s="129">
        <v>6840</v>
      </c>
      <c r="D100" s="129"/>
      <c r="E100" s="129"/>
      <c r="F100" s="130"/>
      <c r="G100" s="131" t="s">
        <v>302</v>
      </c>
      <c r="H100" s="131" t="s">
        <v>120</v>
      </c>
      <c r="I100" s="131" t="s">
        <v>120</v>
      </c>
      <c r="J100" s="131" t="s">
        <v>334</v>
      </c>
      <c r="K100" s="131" t="s">
        <v>177</v>
      </c>
      <c r="L100" s="177">
        <v>14</v>
      </c>
      <c r="M100" s="131" t="str">
        <f>_xlfn.XLOOKUP(L100,[1]Auslegungsgrundlagen!$A$9:$A$100,[1]Auslegungsgrundlagen!$B$9:$B$100)</f>
        <v>ELT-Schacht</v>
      </c>
      <c r="N100" s="132">
        <v>3</v>
      </c>
      <c r="O100" s="132">
        <v>8.75</v>
      </c>
      <c r="P100" s="133">
        <v>0</v>
      </c>
      <c r="Q100" s="134"/>
      <c r="R100" s="135">
        <f>_xlfn.XLOOKUP(L100,[1]Auslegungsgrundlagen!$A$9:$A$100,[1]Auslegungsgrundlagen!$M$9:$M$100)</f>
        <v>0</v>
      </c>
      <c r="S100" s="136">
        <f>_xlfn.XLOOKUP(L100,[1]Auslegungsgrundlagen!$A$9:$A$100,[1]Auslegungsgrundlagen!$Q$9:$Q$100)*P100</f>
        <v>0</v>
      </c>
      <c r="T100" s="137">
        <v>0</v>
      </c>
      <c r="U100" s="137">
        <v>0</v>
      </c>
      <c r="V100" s="138">
        <v>0</v>
      </c>
      <c r="W100" s="139">
        <f t="shared" si="45"/>
        <v>0</v>
      </c>
      <c r="X100" s="140" t="s">
        <v>120</v>
      </c>
      <c r="Y100" s="137" t="s">
        <v>120</v>
      </c>
      <c r="Z100" s="141">
        <v>0</v>
      </c>
      <c r="AA100" s="142">
        <f t="shared" si="46"/>
        <v>0</v>
      </c>
      <c r="AB100" s="140" t="s">
        <v>120</v>
      </c>
      <c r="AC100" s="143" t="s">
        <v>120</v>
      </c>
      <c r="AD100" s="144">
        <v>0</v>
      </c>
      <c r="AE100" s="145">
        <f t="shared" si="47"/>
        <v>0</v>
      </c>
      <c r="AF100" s="146"/>
      <c r="AG100" s="140" t="s">
        <v>120</v>
      </c>
      <c r="AH100" s="143" t="s">
        <v>120</v>
      </c>
      <c r="AI100" s="144">
        <v>0</v>
      </c>
      <c r="AJ100" s="145">
        <f t="shared" si="48"/>
        <v>0</v>
      </c>
      <c r="AK100" s="146"/>
      <c r="AL100" s="147">
        <f t="shared" si="49"/>
        <v>0</v>
      </c>
      <c r="AM100" s="140" t="s">
        <v>120</v>
      </c>
      <c r="AN100" s="143" t="s">
        <v>120</v>
      </c>
      <c r="AO100" s="144">
        <v>0</v>
      </c>
      <c r="AP100" s="148">
        <v>0</v>
      </c>
      <c r="AQ100" s="142">
        <f t="shared" si="50"/>
        <v>0</v>
      </c>
      <c r="AR100" s="140" t="s">
        <v>120</v>
      </c>
      <c r="AS100" s="143" t="s">
        <v>120</v>
      </c>
      <c r="AT100" s="144">
        <v>0</v>
      </c>
      <c r="AU100" s="149">
        <v>0</v>
      </c>
      <c r="AV100" s="145">
        <f t="shared" si="51"/>
        <v>0</v>
      </c>
      <c r="AW100" s="146"/>
      <c r="AX100" s="140" t="s">
        <v>120</v>
      </c>
      <c r="AY100" s="143" t="s">
        <v>120</v>
      </c>
      <c r="AZ100" s="144">
        <v>0</v>
      </c>
      <c r="BA100" s="149">
        <v>0</v>
      </c>
      <c r="BB100" s="145">
        <f t="shared" si="52"/>
        <v>0</v>
      </c>
      <c r="BC100" s="150"/>
      <c r="BD100" s="151">
        <f t="shared" si="53"/>
        <v>0</v>
      </c>
      <c r="BE100" s="152">
        <f t="shared" si="54"/>
        <v>0</v>
      </c>
      <c r="BF100" s="140" t="s">
        <v>120</v>
      </c>
      <c r="BG100" s="153" t="s">
        <v>120</v>
      </c>
      <c r="BH100" s="154" t="s">
        <v>120</v>
      </c>
      <c r="BI100" s="155" t="s">
        <v>120</v>
      </c>
      <c r="BJ100" s="156" t="s">
        <v>120</v>
      </c>
      <c r="BK100" s="157"/>
      <c r="BL100" s="158">
        <f>_xlfn.XLOOKUP(L100,[1]Auslegungsgrundlagen!$A$9:$A$100,[1]Auslegungsgrundlagen!$U$9:$U$100)</f>
        <v>0</v>
      </c>
      <c r="BM100" s="137">
        <v>0</v>
      </c>
      <c r="BN100" s="159">
        <v>0</v>
      </c>
      <c r="BO100" s="152">
        <f t="shared" si="55"/>
        <v>0</v>
      </c>
      <c r="BP100" s="140" t="s">
        <v>120</v>
      </c>
      <c r="BQ100" s="143" t="s">
        <v>120</v>
      </c>
      <c r="BR100" s="160">
        <v>0</v>
      </c>
      <c r="BS100" s="142">
        <f t="shared" si="56"/>
        <v>0</v>
      </c>
      <c r="BT100" s="140" t="s">
        <v>120</v>
      </c>
      <c r="BU100" s="143" t="s">
        <v>120</v>
      </c>
      <c r="BV100" s="160">
        <v>0</v>
      </c>
      <c r="BW100" s="145">
        <f t="shared" si="57"/>
        <v>0</v>
      </c>
      <c r="BX100" s="146"/>
      <c r="BY100" s="140" t="s">
        <v>120</v>
      </c>
      <c r="BZ100" s="143" t="s">
        <v>120</v>
      </c>
      <c r="CA100" s="160">
        <v>0</v>
      </c>
      <c r="CB100" s="145">
        <f t="shared" si="58"/>
        <v>0</v>
      </c>
      <c r="CC100" s="146"/>
      <c r="CD100" s="151">
        <f t="shared" si="59"/>
        <v>0</v>
      </c>
      <c r="CE100" s="161" t="s">
        <v>120</v>
      </c>
      <c r="CF100" s="162" t="s">
        <v>120</v>
      </c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ht="12.3">
      <c r="A101" s="128" t="s">
        <v>359</v>
      </c>
      <c r="B101" s="129">
        <v>3250</v>
      </c>
      <c r="C101" s="129">
        <v>72050</v>
      </c>
      <c r="D101" s="129"/>
      <c r="E101" s="129"/>
      <c r="F101" s="130"/>
      <c r="G101" s="131" t="s">
        <v>350</v>
      </c>
      <c r="H101" s="131" t="s">
        <v>120</v>
      </c>
      <c r="I101" s="131" t="s">
        <v>120</v>
      </c>
      <c r="J101" s="131" t="s">
        <v>360</v>
      </c>
      <c r="K101" s="131" t="s">
        <v>361</v>
      </c>
      <c r="L101" s="177">
        <v>1</v>
      </c>
      <c r="M101" s="131" t="str">
        <f>_xlfn.XLOOKUP(L101,[1]Auslegungsgrundlagen!$A$9:$A$100,[1]Auslegungsgrundlagen!$B$9:$B$100)</f>
        <v>Flex-/ Co-Work/</v>
      </c>
      <c r="N101" s="132">
        <v>176</v>
      </c>
      <c r="O101" s="132">
        <v>527.69000000000005</v>
      </c>
      <c r="P101" s="133">
        <v>0</v>
      </c>
      <c r="Q101" s="134"/>
      <c r="R101" s="135">
        <f>_xlfn.XLOOKUP(L101,[1]Auslegungsgrundlagen!$A$9:$A$100,[1]Auslegungsgrundlagen!$M$9:$M$100)</f>
        <v>50</v>
      </c>
      <c r="S101" s="136">
        <f>_xlfn.XLOOKUP(L101,[1]Auslegungsgrundlagen!$A$9:$A$100,[1]Auslegungsgrundlagen!$Q$9:$Q$100)*P101</f>
        <v>0</v>
      </c>
      <c r="T101" s="137">
        <v>0</v>
      </c>
      <c r="U101" s="137">
        <v>0</v>
      </c>
      <c r="V101" s="138">
        <v>0</v>
      </c>
      <c r="W101" s="139">
        <f t="shared" si="45"/>
        <v>8.8000000000000007</v>
      </c>
      <c r="X101" s="140" t="s">
        <v>481</v>
      </c>
      <c r="Y101" s="137">
        <f>W101*1000</f>
        <v>8800</v>
      </c>
      <c r="Z101" s="141">
        <v>1</v>
      </c>
      <c r="AA101" s="142">
        <f t="shared" si="46"/>
        <v>8.8000000000000007</v>
      </c>
      <c r="AB101" s="140" t="s">
        <v>120</v>
      </c>
      <c r="AC101" s="143" t="s">
        <v>120</v>
      </c>
      <c r="AD101" s="144">
        <v>0</v>
      </c>
      <c r="AE101" s="145">
        <f t="shared" si="47"/>
        <v>0</v>
      </c>
      <c r="AF101" s="146"/>
      <c r="AG101" s="140" t="s">
        <v>120</v>
      </c>
      <c r="AH101" s="143" t="s">
        <v>120</v>
      </c>
      <c r="AI101" s="144">
        <v>0</v>
      </c>
      <c r="AJ101" s="145">
        <f t="shared" si="48"/>
        <v>0</v>
      </c>
      <c r="AK101" s="146"/>
      <c r="AL101" s="147">
        <f t="shared" si="49"/>
        <v>8.8000000000000007</v>
      </c>
      <c r="AM101" s="140" t="s">
        <v>120</v>
      </c>
      <c r="AN101" s="143" t="s">
        <v>120</v>
      </c>
      <c r="AO101" s="144">
        <v>0</v>
      </c>
      <c r="AP101" s="148">
        <v>0</v>
      </c>
      <c r="AQ101" s="142">
        <f t="shared" si="50"/>
        <v>0</v>
      </c>
      <c r="AR101" s="140" t="s">
        <v>120</v>
      </c>
      <c r="AS101" s="143" t="s">
        <v>120</v>
      </c>
      <c r="AT101" s="144">
        <v>0</v>
      </c>
      <c r="AU101" s="149">
        <v>0</v>
      </c>
      <c r="AV101" s="145">
        <f t="shared" si="51"/>
        <v>0</v>
      </c>
      <c r="AW101" s="146"/>
      <c r="AX101" s="140" t="s">
        <v>120</v>
      </c>
      <c r="AY101" s="143" t="s">
        <v>120</v>
      </c>
      <c r="AZ101" s="144">
        <v>0</v>
      </c>
      <c r="BA101" s="149">
        <v>0</v>
      </c>
      <c r="BB101" s="145">
        <f t="shared" si="52"/>
        <v>0</v>
      </c>
      <c r="BC101" s="150"/>
      <c r="BD101" s="151">
        <f t="shared" si="53"/>
        <v>0</v>
      </c>
      <c r="BE101" s="152">
        <f t="shared" si="54"/>
        <v>8.8000000000000007</v>
      </c>
      <c r="BF101" s="140" t="s">
        <v>120</v>
      </c>
      <c r="BG101" s="153" t="s">
        <v>120</v>
      </c>
      <c r="BH101" s="154" t="s">
        <v>120</v>
      </c>
      <c r="BI101" s="155" t="s">
        <v>120</v>
      </c>
      <c r="BJ101" s="156" t="s">
        <v>120</v>
      </c>
      <c r="BK101" s="157"/>
      <c r="BL101" s="158">
        <f>_xlfn.XLOOKUP(L101,[1]Auslegungsgrundlagen!$A$9:$A$100,[1]Auslegungsgrundlagen!$U$9:$U$100)</f>
        <v>40</v>
      </c>
      <c r="BM101" s="137">
        <v>0</v>
      </c>
      <c r="BN101" s="159">
        <v>0</v>
      </c>
      <c r="BO101" s="152">
        <f t="shared" si="55"/>
        <v>7.04</v>
      </c>
      <c r="BP101" s="140" t="s">
        <v>481</v>
      </c>
      <c r="BQ101" s="143">
        <f>BO101*1000</f>
        <v>7040</v>
      </c>
      <c r="BR101" s="160">
        <v>1</v>
      </c>
      <c r="BS101" s="142">
        <f t="shared" si="56"/>
        <v>7.04</v>
      </c>
      <c r="BT101" s="140" t="s">
        <v>120</v>
      </c>
      <c r="BU101" s="143" t="s">
        <v>120</v>
      </c>
      <c r="BV101" s="160">
        <v>0</v>
      </c>
      <c r="BW101" s="145">
        <f t="shared" si="57"/>
        <v>0</v>
      </c>
      <c r="BX101" s="146"/>
      <c r="BY101" s="140" t="s">
        <v>120</v>
      </c>
      <c r="BZ101" s="143" t="s">
        <v>120</v>
      </c>
      <c r="CA101" s="160">
        <v>0</v>
      </c>
      <c r="CB101" s="145">
        <f t="shared" si="58"/>
        <v>0</v>
      </c>
      <c r="CC101" s="146"/>
      <c r="CD101" s="151">
        <f t="shared" si="59"/>
        <v>7.04</v>
      </c>
      <c r="CE101" s="161" t="s">
        <v>120</v>
      </c>
      <c r="CF101" s="162" t="s">
        <v>120</v>
      </c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ht="12.3">
      <c r="A102" s="128" t="s">
        <v>470</v>
      </c>
      <c r="B102" s="129">
        <v>3250</v>
      </c>
      <c r="C102" s="129">
        <v>62660</v>
      </c>
      <c r="D102" s="129"/>
      <c r="E102" s="129"/>
      <c r="F102" s="130"/>
      <c r="G102" s="131" t="s">
        <v>350</v>
      </c>
      <c r="H102" s="131" t="s">
        <v>120</v>
      </c>
      <c r="I102" s="131" t="s">
        <v>120</v>
      </c>
      <c r="J102" s="131" t="s">
        <v>471</v>
      </c>
      <c r="K102" s="131" t="s">
        <v>156</v>
      </c>
      <c r="L102" s="177">
        <v>6</v>
      </c>
      <c r="M102" s="131" t="str">
        <f>_xlfn.XLOOKUP(L102,[1]Auslegungsgrundlagen!$A$9:$A$100,[1]Auslegungsgrundlagen!$B$9:$B$100)</f>
        <v>Verkehrsflächen, Flure</v>
      </c>
      <c r="N102" s="132">
        <v>67</v>
      </c>
      <c r="O102" s="132">
        <v>202.31</v>
      </c>
      <c r="P102" s="133">
        <v>0</v>
      </c>
      <c r="Q102" s="134"/>
      <c r="R102" s="135">
        <f>_xlfn.XLOOKUP(L102,[1]Auslegungsgrundlagen!$A$9:$A$100,[1]Auslegungsgrundlagen!$M$9:$M$100)</f>
        <v>0</v>
      </c>
      <c r="S102" s="136">
        <f>_xlfn.XLOOKUP(L102,[1]Auslegungsgrundlagen!$A$9:$A$100,[1]Auslegungsgrundlagen!$Q$9:$Q$100)*P102</f>
        <v>0</v>
      </c>
      <c r="T102" s="137">
        <v>0</v>
      </c>
      <c r="U102" s="137">
        <v>0</v>
      </c>
      <c r="V102" s="138">
        <v>0</v>
      </c>
      <c r="W102" s="139">
        <f t="shared" si="45"/>
        <v>0</v>
      </c>
      <c r="X102" s="140" t="s">
        <v>120</v>
      </c>
      <c r="Y102" s="137" t="s">
        <v>120</v>
      </c>
      <c r="Z102" s="141">
        <v>0</v>
      </c>
      <c r="AA102" s="142">
        <f t="shared" si="46"/>
        <v>0</v>
      </c>
      <c r="AB102" s="140" t="s">
        <v>120</v>
      </c>
      <c r="AC102" s="143" t="s">
        <v>120</v>
      </c>
      <c r="AD102" s="144">
        <v>0</v>
      </c>
      <c r="AE102" s="145">
        <f t="shared" si="47"/>
        <v>0</v>
      </c>
      <c r="AF102" s="146"/>
      <c r="AG102" s="140" t="s">
        <v>120</v>
      </c>
      <c r="AH102" s="143" t="s">
        <v>120</v>
      </c>
      <c r="AI102" s="144">
        <v>0</v>
      </c>
      <c r="AJ102" s="145">
        <f t="shared" si="48"/>
        <v>0</v>
      </c>
      <c r="AK102" s="146"/>
      <c r="AL102" s="147">
        <f t="shared" si="49"/>
        <v>0</v>
      </c>
      <c r="AM102" s="140" t="s">
        <v>120</v>
      </c>
      <c r="AN102" s="143" t="s">
        <v>120</v>
      </c>
      <c r="AO102" s="144">
        <v>0</v>
      </c>
      <c r="AP102" s="148">
        <v>0</v>
      </c>
      <c r="AQ102" s="142">
        <f t="shared" si="50"/>
        <v>0</v>
      </c>
      <c r="AR102" s="140" t="s">
        <v>120</v>
      </c>
      <c r="AS102" s="143" t="s">
        <v>120</v>
      </c>
      <c r="AT102" s="144">
        <v>0</v>
      </c>
      <c r="AU102" s="149">
        <v>0</v>
      </c>
      <c r="AV102" s="145">
        <f t="shared" si="51"/>
        <v>0</v>
      </c>
      <c r="AW102" s="146"/>
      <c r="AX102" s="140" t="s">
        <v>120</v>
      </c>
      <c r="AY102" s="143" t="s">
        <v>120</v>
      </c>
      <c r="AZ102" s="144">
        <v>0</v>
      </c>
      <c r="BA102" s="149">
        <v>0</v>
      </c>
      <c r="BB102" s="145">
        <f t="shared" si="52"/>
        <v>0</v>
      </c>
      <c r="BC102" s="150"/>
      <c r="BD102" s="151">
        <f t="shared" si="53"/>
        <v>0</v>
      </c>
      <c r="BE102" s="152">
        <f t="shared" si="54"/>
        <v>0</v>
      </c>
      <c r="BF102" s="140" t="s">
        <v>120</v>
      </c>
      <c r="BG102" s="153" t="s">
        <v>120</v>
      </c>
      <c r="BH102" s="154" t="s">
        <v>120</v>
      </c>
      <c r="BI102" s="155" t="s">
        <v>120</v>
      </c>
      <c r="BJ102" s="156" t="s">
        <v>120</v>
      </c>
      <c r="BK102" s="157"/>
      <c r="BL102" s="158">
        <f>_xlfn.XLOOKUP(L102,[1]Auslegungsgrundlagen!$A$9:$A$100,[1]Auslegungsgrundlagen!$U$9:$U$100)</f>
        <v>0</v>
      </c>
      <c r="BM102" s="137">
        <v>0</v>
      </c>
      <c r="BN102" s="159">
        <v>0</v>
      </c>
      <c r="BO102" s="152">
        <f t="shared" si="55"/>
        <v>0</v>
      </c>
      <c r="BP102" s="140" t="s">
        <v>120</v>
      </c>
      <c r="BQ102" s="143" t="s">
        <v>120</v>
      </c>
      <c r="BR102" s="160">
        <v>0</v>
      </c>
      <c r="BS102" s="142">
        <f t="shared" si="56"/>
        <v>0</v>
      </c>
      <c r="BT102" s="140" t="s">
        <v>120</v>
      </c>
      <c r="BU102" s="143" t="s">
        <v>120</v>
      </c>
      <c r="BV102" s="160">
        <v>0</v>
      </c>
      <c r="BW102" s="145">
        <f t="shared" si="57"/>
        <v>0</v>
      </c>
      <c r="BX102" s="146"/>
      <c r="BY102" s="140" t="s">
        <v>120</v>
      </c>
      <c r="BZ102" s="143" t="s">
        <v>120</v>
      </c>
      <c r="CA102" s="160">
        <v>0</v>
      </c>
      <c r="CB102" s="145">
        <f t="shared" si="58"/>
        <v>0</v>
      </c>
      <c r="CC102" s="146"/>
      <c r="CD102" s="151">
        <f t="shared" si="59"/>
        <v>0</v>
      </c>
      <c r="CE102" s="161" t="s">
        <v>120</v>
      </c>
      <c r="CF102" s="162" t="s">
        <v>120</v>
      </c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ht="12.3">
      <c r="A103" s="128" t="s">
        <v>364</v>
      </c>
      <c r="B103" s="129">
        <v>3250</v>
      </c>
      <c r="C103" s="129">
        <v>12540</v>
      </c>
      <c r="D103" s="129"/>
      <c r="E103" s="129"/>
      <c r="F103" s="130"/>
      <c r="G103" s="131" t="s">
        <v>350</v>
      </c>
      <c r="H103" s="131" t="s">
        <v>120</v>
      </c>
      <c r="I103" s="131" t="s">
        <v>120</v>
      </c>
      <c r="J103" s="131" t="s">
        <v>365</v>
      </c>
      <c r="K103" s="131" t="s">
        <v>366</v>
      </c>
      <c r="L103" s="177">
        <v>2</v>
      </c>
      <c r="M103" s="131" t="str">
        <f>_xlfn.XLOOKUP(L103,[1]Auslegungsgrundlagen!$A$9:$A$100,[1]Auslegungsgrundlagen!$B$9:$B$100)</f>
        <v>Einzel-/Zweierbüros</v>
      </c>
      <c r="N103" s="132">
        <v>9</v>
      </c>
      <c r="O103" s="132">
        <v>25.99</v>
      </c>
      <c r="P103" s="133">
        <v>0</v>
      </c>
      <c r="Q103" s="134"/>
      <c r="R103" s="135">
        <f>_xlfn.XLOOKUP(L103,[1]Auslegungsgrundlagen!$A$9:$A$100,[1]Auslegungsgrundlagen!$M$9:$M$100)</f>
        <v>50</v>
      </c>
      <c r="S103" s="136">
        <f>_xlfn.XLOOKUP(L103,[1]Auslegungsgrundlagen!$A$9:$A$100,[1]Auslegungsgrundlagen!$Q$9:$Q$100)*P103</f>
        <v>0</v>
      </c>
      <c r="T103" s="137">
        <v>0</v>
      </c>
      <c r="U103" s="137">
        <v>0</v>
      </c>
      <c r="V103" s="138">
        <v>0</v>
      </c>
      <c r="W103" s="139">
        <f t="shared" si="45"/>
        <v>0.45</v>
      </c>
      <c r="X103" s="140" t="s">
        <v>481</v>
      </c>
      <c r="Y103" s="137">
        <f t="shared" ref="Y103:Y112" si="64">W103*1000</f>
        <v>450</v>
      </c>
      <c r="Z103" s="141">
        <v>1</v>
      </c>
      <c r="AA103" s="142">
        <f t="shared" si="46"/>
        <v>0.45</v>
      </c>
      <c r="AB103" s="140" t="s">
        <v>120</v>
      </c>
      <c r="AC103" s="143" t="s">
        <v>120</v>
      </c>
      <c r="AD103" s="144">
        <v>0</v>
      </c>
      <c r="AE103" s="145">
        <f t="shared" si="47"/>
        <v>0</v>
      </c>
      <c r="AF103" s="146"/>
      <c r="AG103" s="140" t="s">
        <v>120</v>
      </c>
      <c r="AH103" s="143" t="s">
        <v>120</v>
      </c>
      <c r="AI103" s="144">
        <v>0</v>
      </c>
      <c r="AJ103" s="145">
        <f t="shared" si="48"/>
        <v>0</v>
      </c>
      <c r="AK103" s="146"/>
      <c r="AL103" s="147">
        <f t="shared" si="49"/>
        <v>0.45</v>
      </c>
      <c r="AM103" s="140" t="s">
        <v>120</v>
      </c>
      <c r="AN103" s="143" t="s">
        <v>120</v>
      </c>
      <c r="AO103" s="144">
        <v>0</v>
      </c>
      <c r="AP103" s="148">
        <v>0</v>
      </c>
      <c r="AQ103" s="142">
        <f t="shared" si="50"/>
        <v>0</v>
      </c>
      <c r="AR103" s="140" t="s">
        <v>120</v>
      </c>
      <c r="AS103" s="143" t="s">
        <v>120</v>
      </c>
      <c r="AT103" s="144">
        <v>0</v>
      </c>
      <c r="AU103" s="149">
        <v>0</v>
      </c>
      <c r="AV103" s="145">
        <f t="shared" si="51"/>
        <v>0</v>
      </c>
      <c r="AW103" s="146"/>
      <c r="AX103" s="140" t="s">
        <v>120</v>
      </c>
      <c r="AY103" s="143" t="s">
        <v>120</v>
      </c>
      <c r="AZ103" s="144">
        <v>0</v>
      </c>
      <c r="BA103" s="149">
        <v>0</v>
      </c>
      <c r="BB103" s="145">
        <f t="shared" si="52"/>
        <v>0</v>
      </c>
      <c r="BC103" s="150"/>
      <c r="BD103" s="151">
        <f t="shared" si="53"/>
        <v>0</v>
      </c>
      <c r="BE103" s="152">
        <f t="shared" si="54"/>
        <v>0.45</v>
      </c>
      <c r="BF103" s="140" t="s">
        <v>120</v>
      </c>
      <c r="BG103" s="153" t="s">
        <v>120</v>
      </c>
      <c r="BH103" s="154" t="s">
        <v>120</v>
      </c>
      <c r="BI103" s="155" t="s">
        <v>120</v>
      </c>
      <c r="BJ103" s="156" t="s">
        <v>120</v>
      </c>
      <c r="BK103" s="157"/>
      <c r="BL103" s="158">
        <f>_xlfn.XLOOKUP(L103,[1]Auslegungsgrundlagen!$A$9:$A$100,[1]Auslegungsgrundlagen!$U$9:$U$100)</f>
        <v>40</v>
      </c>
      <c r="BM103" s="137">
        <v>0</v>
      </c>
      <c r="BN103" s="159">
        <v>0</v>
      </c>
      <c r="BO103" s="152">
        <f t="shared" si="55"/>
        <v>0.36</v>
      </c>
      <c r="BP103" s="140" t="s">
        <v>481</v>
      </c>
      <c r="BQ103" s="143">
        <f t="shared" ref="BQ103:BQ112" si="65">BO103*1000</f>
        <v>360</v>
      </c>
      <c r="BR103" s="160">
        <v>1</v>
      </c>
      <c r="BS103" s="142">
        <f t="shared" si="56"/>
        <v>0.36</v>
      </c>
      <c r="BT103" s="140" t="s">
        <v>120</v>
      </c>
      <c r="BU103" s="143" t="s">
        <v>120</v>
      </c>
      <c r="BV103" s="160">
        <v>0</v>
      </c>
      <c r="BW103" s="145">
        <f t="shared" si="57"/>
        <v>0</v>
      </c>
      <c r="BX103" s="146"/>
      <c r="BY103" s="140" t="s">
        <v>120</v>
      </c>
      <c r="BZ103" s="143" t="s">
        <v>120</v>
      </c>
      <c r="CA103" s="160">
        <v>0</v>
      </c>
      <c r="CB103" s="145">
        <f t="shared" si="58"/>
        <v>0</v>
      </c>
      <c r="CC103" s="146"/>
      <c r="CD103" s="151">
        <f t="shared" si="59"/>
        <v>0.36</v>
      </c>
      <c r="CE103" s="161" t="s">
        <v>120</v>
      </c>
      <c r="CF103" s="162" t="s">
        <v>120</v>
      </c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ht="12.3">
      <c r="A104" s="128" t="s">
        <v>367</v>
      </c>
      <c r="B104" s="129">
        <v>3250</v>
      </c>
      <c r="C104" s="129">
        <v>12630</v>
      </c>
      <c r="D104" s="129"/>
      <c r="E104" s="129"/>
      <c r="F104" s="130"/>
      <c r="G104" s="131" t="s">
        <v>350</v>
      </c>
      <c r="H104" s="131" t="s">
        <v>120</v>
      </c>
      <c r="I104" s="131" t="s">
        <v>120</v>
      </c>
      <c r="J104" s="131" t="s">
        <v>368</v>
      </c>
      <c r="K104" s="131" t="s">
        <v>366</v>
      </c>
      <c r="L104" s="177">
        <v>2</v>
      </c>
      <c r="M104" s="131" t="str">
        <f>_xlfn.XLOOKUP(L104,[1]Auslegungsgrundlagen!$A$9:$A$100,[1]Auslegungsgrundlagen!$B$9:$B$100)</f>
        <v>Einzel-/Zweierbüros</v>
      </c>
      <c r="N104" s="132">
        <v>9</v>
      </c>
      <c r="O104" s="132">
        <v>26.55</v>
      </c>
      <c r="P104" s="133">
        <v>0</v>
      </c>
      <c r="Q104" s="134"/>
      <c r="R104" s="135">
        <f>_xlfn.XLOOKUP(L104,[1]Auslegungsgrundlagen!$A$9:$A$100,[1]Auslegungsgrundlagen!$M$9:$M$100)</f>
        <v>50</v>
      </c>
      <c r="S104" s="136">
        <f>_xlfn.XLOOKUP(L104,[1]Auslegungsgrundlagen!$A$9:$A$100,[1]Auslegungsgrundlagen!$Q$9:$Q$100)*P104</f>
        <v>0</v>
      </c>
      <c r="T104" s="137">
        <v>0</v>
      </c>
      <c r="U104" s="137">
        <v>0</v>
      </c>
      <c r="V104" s="138">
        <v>0</v>
      </c>
      <c r="W104" s="139">
        <f t="shared" si="45"/>
        <v>0.45</v>
      </c>
      <c r="X104" s="140" t="s">
        <v>481</v>
      </c>
      <c r="Y104" s="137">
        <f t="shared" si="64"/>
        <v>450</v>
      </c>
      <c r="Z104" s="141">
        <v>1</v>
      </c>
      <c r="AA104" s="142">
        <f t="shared" si="46"/>
        <v>0.45</v>
      </c>
      <c r="AB104" s="140" t="s">
        <v>120</v>
      </c>
      <c r="AC104" s="143" t="s">
        <v>120</v>
      </c>
      <c r="AD104" s="144">
        <v>0</v>
      </c>
      <c r="AE104" s="145">
        <f t="shared" si="47"/>
        <v>0</v>
      </c>
      <c r="AF104" s="146"/>
      <c r="AG104" s="140" t="s">
        <v>120</v>
      </c>
      <c r="AH104" s="143" t="s">
        <v>120</v>
      </c>
      <c r="AI104" s="144">
        <v>0</v>
      </c>
      <c r="AJ104" s="145">
        <f t="shared" si="48"/>
        <v>0</v>
      </c>
      <c r="AK104" s="146"/>
      <c r="AL104" s="147">
        <f t="shared" si="49"/>
        <v>0.45</v>
      </c>
      <c r="AM104" s="140" t="s">
        <v>120</v>
      </c>
      <c r="AN104" s="143" t="s">
        <v>120</v>
      </c>
      <c r="AO104" s="144">
        <v>0</v>
      </c>
      <c r="AP104" s="148">
        <v>0</v>
      </c>
      <c r="AQ104" s="142">
        <f t="shared" si="50"/>
        <v>0</v>
      </c>
      <c r="AR104" s="140" t="s">
        <v>120</v>
      </c>
      <c r="AS104" s="143" t="s">
        <v>120</v>
      </c>
      <c r="AT104" s="144">
        <v>0</v>
      </c>
      <c r="AU104" s="149">
        <v>0</v>
      </c>
      <c r="AV104" s="145">
        <f t="shared" si="51"/>
        <v>0</v>
      </c>
      <c r="AW104" s="146"/>
      <c r="AX104" s="140" t="s">
        <v>120</v>
      </c>
      <c r="AY104" s="143" t="s">
        <v>120</v>
      </c>
      <c r="AZ104" s="144">
        <v>0</v>
      </c>
      <c r="BA104" s="149">
        <v>0</v>
      </c>
      <c r="BB104" s="145">
        <f t="shared" si="52"/>
        <v>0</v>
      </c>
      <c r="BC104" s="150"/>
      <c r="BD104" s="151">
        <f t="shared" si="53"/>
        <v>0</v>
      </c>
      <c r="BE104" s="152">
        <f t="shared" si="54"/>
        <v>0.45</v>
      </c>
      <c r="BF104" s="140" t="s">
        <v>120</v>
      </c>
      <c r="BG104" s="153" t="s">
        <v>120</v>
      </c>
      <c r="BH104" s="154" t="s">
        <v>120</v>
      </c>
      <c r="BI104" s="155" t="s">
        <v>120</v>
      </c>
      <c r="BJ104" s="156" t="s">
        <v>120</v>
      </c>
      <c r="BK104" s="157"/>
      <c r="BL104" s="158">
        <f>_xlfn.XLOOKUP(L104,[1]Auslegungsgrundlagen!$A$9:$A$100,[1]Auslegungsgrundlagen!$U$9:$U$100)</f>
        <v>40</v>
      </c>
      <c r="BM104" s="137">
        <v>0</v>
      </c>
      <c r="BN104" s="159">
        <v>0</v>
      </c>
      <c r="BO104" s="152">
        <f t="shared" si="55"/>
        <v>0.36</v>
      </c>
      <c r="BP104" s="140" t="s">
        <v>481</v>
      </c>
      <c r="BQ104" s="143">
        <f t="shared" si="65"/>
        <v>360</v>
      </c>
      <c r="BR104" s="160">
        <v>1</v>
      </c>
      <c r="BS104" s="142">
        <f t="shared" si="56"/>
        <v>0.36</v>
      </c>
      <c r="BT104" s="140" t="s">
        <v>120</v>
      </c>
      <c r="BU104" s="143" t="s">
        <v>120</v>
      </c>
      <c r="BV104" s="160">
        <v>0</v>
      </c>
      <c r="BW104" s="145">
        <f t="shared" si="57"/>
        <v>0</v>
      </c>
      <c r="BX104" s="146"/>
      <c r="BY104" s="140" t="s">
        <v>120</v>
      </c>
      <c r="BZ104" s="143" t="s">
        <v>120</v>
      </c>
      <c r="CA104" s="160">
        <v>0</v>
      </c>
      <c r="CB104" s="145">
        <f t="shared" si="58"/>
        <v>0</v>
      </c>
      <c r="CC104" s="146"/>
      <c r="CD104" s="151">
        <f t="shared" si="59"/>
        <v>0.36</v>
      </c>
      <c r="CE104" s="161" t="s">
        <v>120</v>
      </c>
      <c r="CF104" s="162" t="s">
        <v>120</v>
      </c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ht="12.3">
      <c r="A105" s="128" t="s">
        <v>369</v>
      </c>
      <c r="B105" s="129">
        <v>3250</v>
      </c>
      <c r="C105" s="129">
        <v>12530</v>
      </c>
      <c r="D105" s="129"/>
      <c r="E105" s="129"/>
      <c r="F105" s="130"/>
      <c r="G105" s="131" t="s">
        <v>350</v>
      </c>
      <c r="H105" s="131" t="s">
        <v>120</v>
      </c>
      <c r="I105" s="131" t="s">
        <v>120</v>
      </c>
      <c r="J105" s="131" t="s">
        <v>370</v>
      </c>
      <c r="K105" s="131" t="s">
        <v>366</v>
      </c>
      <c r="L105" s="177">
        <v>2</v>
      </c>
      <c r="M105" s="131" t="str">
        <f>_xlfn.XLOOKUP(L105,[1]Auslegungsgrundlagen!$A$9:$A$100,[1]Auslegungsgrundlagen!$B$9:$B$100)</f>
        <v>Einzel-/Zweierbüros</v>
      </c>
      <c r="N105" s="132">
        <v>9</v>
      </c>
      <c r="O105" s="132">
        <v>26.24</v>
      </c>
      <c r="P105" s="133">
        <v>0</v>
      </c>
      <c r="Q105" s="134"/>
      <c r="R105" s="135">
        <f>_xlfn.XLOOKUP(L105,[1]Auslegungsgrundlagen!$A$9:$A$100,[1]Auslegungsgrundlagen!$M$9:$M$100)</f>
        <v>50</v>
      </c>
      <c r="S105" s="136">
        <f>_xlfn.XLOOKUP(L105,[1]Auslegungsgrundlagen!$A$9:$A$100,[1]Auslegungsgrundlagen!$Q$9:$Q$100)*P105</f>
        <v>0</v>
      </c>
      <c r="T105" s="137">
        <v>0</v>
      </c>
      <c r="U105" s="137">
        <v>0</v>
      </c>
      <c r="V105" s="138">
        <v>0</v>
      </c>
      <c r="W105" s="139">
        <f t="shared" si="45"/>
        <v>0.45</v>
      </c>
      <c r="X105" s="140" t="s">
        <v>481</v>
      </c>
      <c r="Y105" s="137">
        <f t="shared" si="64"/>
        <v>450</v>
      </c>
      <c r="Z105" s="141">
        <v>1</v>
      </c>
      <c r="AA105" s="142">
        <f t="shared" si="46"/>
        <v>0.45</v>
      </c>
      <c r="AB105" s="140" t="s">
        <v>120</v>
      </c>
      <c r="AC105" s="143" t="s">
        <v>120</v>
      </c>
      <c r="AD105" s="144">
        <v>0</v>
      </c>
      <c r="AE105" s="145">
        <f t="shared" si="47"/>
        <v>0</v>
      </c>
      <c r="AF105" s="146"/>
      <c r="AG105" s="140" t="s">
        <v>120</v>
      </c>
      <c r="AH105" s="143" t="s">
        <v>120</v>
      </c>
      <c r="AI105" s="144">
        <v>0</v>
      </c>
      <c r="AJ105" s="145">
        <f t="shared" si="48"/>
        <v>0</v>
      </c>
      <c r="AK105" s="146"/>
      <c r="AL105" s="147">
        <f t="shared" si="49"/>
        <v>0.45</v>
      </c>
      <c r="AM105" s="140" t="s">
        <v>120</v>
      </c>
      <c r="AN105" s="143" t="s">
        <v>120</v>
      </c>
      <c r="AO105" s="144">
        <v>0</v>
      </c>
      <c r="AP105" s="148">
        <v>0</v>
      </c>
      <c r="AQ105" s="142">
        <f t="shared" si="50"/>
        <v>0</v>
      </c>
      <c r="AR105" s="140" t="s">
        <v>120</v>
      </c>
      <c r="AS105" s="143" t="s">
        <v>120</v>
      </c>
      <c r="AT105" s="144">
        <v>0</v>
      </c>
      <c r="AU105" s="149">
        <v>0</v>
      </c>
      <c r="AV105" s="145">
        <f t="shared" si="51"/>
        <v>0</v>
      </c>
      <c r="AW105" s="146"/>
      <c r="AX105" s="140" t="s">
        <v>120</v>
      </c>
      <c r="AY105" s="143" t="s">
        <v>120</v>
      </c>
      <c r="AZ105" s="144">
        <v>0</v>
      </c>
      <c r="BA105" s="149">
        <v>0</v>
      </c>
      <c r="BB105" s="145">
        <f t="shared" si="52"/>
        <v>0</v>
      </c>
      <c r="BC105" s="150"/>
      <c r="BD105" s="151">
        <f t="shared" si="53"/>
        <v>0</v>
      </c>
      <c r="BE105" s="152">
        <f t="shared" si="54"/>
        <v>0.45</v>
      </c>
      <c r="BF105" s="140" t="s">
        <v>120</v>
      </c>
      <c r="BG105" s="153" t="s">
        <v>120</v>
      </c>
      <c r="BH105" s="154" t="s">
        <v>120</v>
      </c>
      <c r="BI105" s="155" t="s">
        <v>120</v>
      </c>
      <c r="BJ105" s="156" t="s">
        <v>120</v>
      </c>
      <c r="BK105" s="157"/>
      <c r="BL105" s="158">
        <f>_xlfn.XLOOKUP(L105,[1]Auslegungsgrundlagen!$A$9:$A$100,[1]Auslegungsgrundlagen!$U$9:$U$100)</f>
        <v>40</v>
      </c>
      <c r="BM105" s="137">
        <v>0</v>
      </c>
      <c r="BN105" s="159">
        <v>0</v>
      </c>
      <c r="BO105" s="152">
        <f t="shared" si="55"/>
        <v>0.36</v>
      </c>
      <c r="BP105" s="140" t="s">
        <v>481</v>
      </c>
      <c r="BQ105" s="143">
        <f t="shared" si="65"/>
        <v>360</v>
      </c>
      <c r="BR105" s="160">
        <v>1</v>
      </c>
      <c r="BS105" s="142">
        <f t="shared" si="56"/>
        <v>0.36</v>
      </c>
      <c r="BT105" s="140" t="s">
        <v>120</v>
      </c>
      <c r="BU105" s="143" t="s">
        <v>120</v>
      </c>
      <c r="BV105" s="160">
        <v>0</v>
      </c>
      <c r="BW105" s="145">
        <f t="shared" si="57"/>
        <v>0</v>
      </c>
      <c r="BX105" s="146"/>
      <c r="BY105" s="140" t="s">
        <v>120</v>
      </c>
      <c r="BZ105" s="143" t="s">
        <v>120</v>
      </c>
      <c r="CA105" s="160">
        <v>0</v>
      </c>
      <c r="CB105" s="145">
        <f t="shared" si="58"/>
        <v>0</v>
      </c>
      <c r="CC105" s="146"/>
      <c r="CD105" s="151">
        <f t="shared" si="59"/>
        <v>0.36</v>
      </c>
      <c r="CE105" s="161" t="s">
        <v>120</v>
      </c>
      <c r="CF105" s="162" t="s">
        <v>120</v>
      </c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ht="12.3">
      <c r="A106" s="128" t="s">
        <v>371</v>
      </c>
      <c r="B106" s="129">
        <v>3250</v>
      </c>
      <c r="C106" s="129">
        <v>12630</v>
      </c>
      <c r="D106" s="129"/>
      <c r="E106" s="129"/>
      <c r="F106" s="130"/>
      <c r="G106" s="131" t="s">
        <v>350</v>
      </c>
      <c r="H106" s="131" t="s">
        <v>120</v>
      </c>
      <c r="I106" s="131" t="s">
        <v>120</v>
      </c>
      <c r="J106" s="131" t="s">
        <v>372</v>
      </c>
      <c r="K106" s="131" t="s">
        <v>366</v>
      </c>
      <c r="L106" s="177">
        <v>2</v>
      </c>
      <c r="M106" s="131" t="str">
        <f>_xlfn.XLOOKUP(L106,[1]Auslegungsgrundlagen!$A$9:$A$100,[1]Auslegungsgrundlagen!$B$9:$B$100)</f>
        <v>Einzel-/Zweierbüros</v>
      </c>
      <c r="N106" s="132">
        <v>9</v>
      </c>
      <c r="O106" s="132">
        <v>26.55</v>
      </c>
      <c r="P106" s="133">
        <v>0</v>
      </c>
      <c r="Q106" s="134"/>
      <c r="R106" s="135">
        <f>_xlfn.XLOOKUP(L106,[1]Auslegungsgrundlagen!$A$9:$A$100,[1]Auslegungsgrundlagen!$M$9:$M$100)</f>
        <v>50</v>
      </c>
      <c r="S106" s="136">
        <f>_xlfn.XLOOKUP(L106,[1]Auslegungsgrundlagen!$A$9:$A$100,[1]Auslegungsgrundlagen!$Q$9:$Q$100)*P106</f>
        <v>0</v>
      </c>
      <c r="T106" s="137">
        <v>0</v>
      </c>
      <c r="U106" s="137">
        <v>0</v>
      </c>
      <c r="V106" s="138">
        <v>0</v>
      </c>
      <c r="W106" s="139">
        <f t="shared" si="45"/>
        <v>0.45</v>
      </c>
      <c r="X106" s="140" t="s">
        <v>481</v>
      </c>
      <c r="Y106" s="137">
        <f t="shared" si="64"/>
        <v>450</v>
      </c>
      <c r="Z106" s="141">
        <v>1</v>
      </c>
      <c r="AA106" s="142">
        <f t="shared" si="46"/>
        <v>0.45</v>
      </c>
      <c r="AB106" s="140" t="s">
        <v>120</v>
      </c>
      <c r="AC106" s="143" t="s">
        <v>120</v>
      </c>
      <c r="AD106" s="144">
        <v>0</v>
      </c>
      <c r="AE106" s="145">
        <f t="shared" si="47"/>
        <v>0</v>
      </c>
      <c r="AF106" s="146"/>
      <c r="AG106" s="140" t="s">
        <v>120</v>
      </c>
      <c r="AH106" s="143" t="s">
        <v>120</v>
      </c>
      <c r="AI106" s="144">
        <v>0</v>
      </c>
      <c r="AJ106" s="145">
        <f t="shared" si="48"/>
        <v>0</v>
      </c>
      <c r="AK106" s="146"/>
      <c r="AL106" s="147">
        <f t="shared" si="49"/>
        <v>0.45</v>
      </c>
      <c r="AM106" s="140" t="s">
        <v>120</v>
      </c>
      <c r="AN106" s="143" t="s">
        <v>120</v>
      </c>
      <c r="AO106" s="144">
        <v>0</v>
      </c>
      <c r="AP106" s="148">
        <v>0</v>
      </c>
      <c r="AQ106" s="142">
        <f t="shared" si="50"/>
        <v>0</v>
      </c>
      <c r="AR106" s="140" t="s">
        <v>120</v>
      </c>
      <c r="AS106" s="143" t="s">
        <v>120</v>
      </c>
      <c r="AT106" s="144">
        <v>0</v>
      </c>
      <c r="AU106" s="149">
        <v>0</v>
      </c>
      <c r="AV106" s="145">
        <f t="shared" si="51"/>
        <v>0</v>
      </c>
      <c r="AW106" s="146"/>
      <c r="AX106" s="140" t="s">
        <v>120</v>
      </c>
      <c r="AY106" s="143" t="s">
        <v>120</v>
      </c>
      <c r="AZ106" s="144">
        <v>0</v>
      </c>
      <c r="BA106" s="149">
        <v>0</v>
      </c>
      <c r="BB106" s="145">
        <f t="shared" si="52"/>
        <v>0</v>
      </c>
      <c r="BC106" s="150"/>
      <c r="BD106" s="151">
        <f t="shared" si="53"/>
        <v>0</v>
      </c>
      <c r="BE106" s="152">
        <f t="shared" si="54"/>
        <v>0.45</v>
      </c>
      <c r="BF106" s="140" t="s">
        <v>120</v>
      </c>
      <c r="BG106" s="153" t="s">
        <v>120</v>
      </c>
      <c r="BH106" s="154" t="s">
        <v>120</v>
      </c>
      <c r="BI106" s="155" t="s">
        <v>120</v>
      </c>
      <c r="BJ106" s="156" t="s">
        <v>120</v>
      </c>
      <c r="BK106" s="157"/>
      <c r="BL106" s="158">
        <f>_xlfn.XLOOKUP(L106,[1]Auslegungsgrundlagen!$A$9:$A$100,[1]Auslegungsgrundlagen!$U$9:$U$100)</f>
        <v>40</v>
      </c>
      <c r="BM106" s="137">
        <v>0</v>
      </c>
      <c r="BN106" s="159">
        <v>0</v>
      </c>
      <c r="BO106" s="152">
        <f t="shared" si="55"/>
        <v>0.36</v>
      </c>
      <c r="BP106" s="140" t="s">
        <v>481</v>
      </c>
      <c r="BQ106" s="143">
        <f t="shared" si="65"/>
        <v>360</v>
      </c>
      <c r="BR106" s="160">
        <v>1</v>
      </c>
      <c r="BS106" s="142">
        <f t="shared" si="56"/>
        <v>0.36</v>
      </c>
      <c r="BT106" s="140" t="s">
        <v>120</v>
      </c>
      <c r="BU106" s="143" t="s">
        <v>120</v>
      </c>
      <c r="BV106" s="160">
        <v>0</v>
      </c>
      <c r="BW106" s="145">
        <f t="shared" si="57"/>
        <v>0</v>
      </c>
      <c r="BX106" s="146"/>
      <c r="BY106" s="140" t="s">
        <v>120</v>
      </c>
      <c r="BZ106" s="143" t="s">
        <v>120</v>
      </c>
      <c r="CA106" s="160">
        <v>0</v>
      </c>
      <c r="CB106" s="145">
        <f t="shared" si="58"/>
        <v>0</v>
      </c>
      <c r="CC106" s="146"/>
      <c r="CD106" s="151">
        <f t="shared" si="59"/>
        <v>0.36</v>
      </c>
      <c r="CE106" s="161" t="s">
        <v>120</v>
      </c>
      <c r="CF106" s="162" t="s">
        <v>120</v>
      </c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ht="12.3">
      <c r="A107" s="128" t="s">
        <v>373</v>
      </c>
      <c r="B107" s="129">
        <v>3250</v>
      </c>
      <c r="C107" s="129">
        <v>12530</v>
      </c>
      <c r="D107" s="129"/>
      <c r="E107" s="129"/>
      <c r="F107" s="130"/>
      <c r="G107" s="131" t="s">
        <v>350</v>
      </c>
      <c r="H107" s="131" t="s">
        <v>120</v>
      </c>
      <c r="I107" s="131" t="s">
        <v>120</v>
      </c>
      <c r="J107" s="131" t="s">
        <v>374</v>
      </c>
      <c r="K107" s="131" t="s">
        <v>366</v>
      </c>
      <c r="L107" s="177">
        <v>2</v>
      </c>
      <c r="M107" s="131" t="str">
        <f>_xlfn.XLOOKUP(L107,[1]Auslegungsgrundlagen!$A$9:$A$100,[1]Auslegungsgrundlagen!$B$9:$B$100)</f>
        <v>Einzel-/Zweierbüros</v>
      </c>
      <c r="N107" s="132">
        <v>9</v>
      </c>
      <c r="O107" s="132">
        <v>26.24</v>
      </c>
      <c r="P107" s="133">
        <v>0</v>
      </c>
      <c r="Q107" s="134"/>
      <c r="R107" s="135">
        <f>_xlfn.XLOOKUP(L107,[1]Auslegungsgrundlagen!$A$9:$A$100,[1]Auslegungsgrundlagen!$M$9:$M$100)</f>
        <v>50</v>
      </c>
      <c r="S107" s="136">
        <f>_xlfn.XLOOKUP(L107,[1]Auslegungsgrundlagen!$A$9:$A$100,[1]Auslegungsgrundlagen!$Q$9:$Q$100)*P107</f>
        <v>0</v>
      </c>
      <c r="T107" s="137">
        <v>0</v>
      </c>
      <c r="U107" s="137">
        <v>0</v>
      </c>
      <c r="V107" s="138">
        <v>0</v>
      </c>
      <c r="W107" s="139">
        <f t="shared" ref="W107:W138" si="66">ROUND(IF(V107&lt;0,V107*(-1)/1000,IF(U107&lt;&gt;0,U107/1000,(R107*N107+S107+T107)/1000)),2)</f>
        <v>0.45</v>
      </c>
      <c r="X107" s="140" t="s">
        <v>481</v>
      </c>
      <c r="Y107" s="137">
        <f t="shared" si="64"/>
        <v>450</v>
      </c>
      <c r="Z107" s="141">
        <v>1</v>
      </c>
      <c r="AA107" s="142">
        <f t="shared" ref="AA107:AA138" si="67">(IF(Y107="",0,Y107)*IF(Z107="",0,Z107))/1000</f>
        <v>0.45</v>
      </c>
      <c r="AB107" s="140" t="s">
        <v>120</v>
      </c>
      <c r="AC107" s="143" t="s">
        <v>120</v>
      </c>
      <c r="AD107" s="144">
        <v>0</v>
      </c>
      <c r="AE107" s="145">
        <f t="shared" ref="AE107:AE138" si="68">(IF(AC107="",0,AC107)*IF(AD107="",0,AD107))/1000</f>
        <v>0</v>
      </c>
      <c r="AF107" s="146"/>
      <c r="AG107" s="140" t="s">
        <v>120</v>
      </c>
      <c r="AH107" s="143" t="s">
        <v>120</v>
      </c>
      <c r="AI107" s="144">
        <v>0</v>
      </c>
      <c r="AJ107" s="145">
        <f t="shared" ref="AJ107:AJ138" si="69">(IF(AH107="",0,AH107)*IF(AI107="",0,AI107))/1000</f>
        <v>0</v>
      </c>
      <c r="AK107" s="146"/>
      <c r="AL107" s="147">
        <f t="shared" ref="AL107:AL138" si="70">IF(AA107="",0,AA107)+IF(AE107="",0,AE107)+IF(AJ107="",0,AJ107)</f>
        <v>0.45</v>
      </c>
      <c r="AM107" s="140" t="s">
        <v>120</v>
      </c>
      <c r="AN107" s="143" t="s">
        <v>120</v>
      </c>
      <c r="AO107" s="144">
        <v>0</v>
      </c>
      <c r="AP107" s="148">
        <v>0</v>
      </c>
      <c r="AQ107" s="142">
        <f t="shared" ref="AQ107:AQ138" si="71">(IF(AN107="",0,AN107)*IF(AO107="",0,AO107)*IF(AP107="",0,AP107))/1000</f>
        <v>0</v>
      </c>
      <c r="AR107" s="140" t="s">
        <v>120</v>
      </c>
      <c r="AS107" s="143" t="s">
        <v>120</v>
      </c>
      <c r="AT107" s="144">
        <v>0</v>
      </c>
      <c r="AU107" s="149">
        <v>0</v>
      </c>
      <c r="AV107" s="145">
        <f t="shared" ref="AV107:AV138" si="72">(IF(AS107="",0,AS107)*IF(AT107="",0,AT107)*IF(AU107="",0,AU107))/1000</f>
        <v>0</v>
      </c>
      <c r="AW107" s="146"/>
      <c r="AX107" s="140" t="s">
        <v>120</v>
      </c>
      <c r="AY107" s="143" t="s">
        <v>120</v>
      </c>
      <c r="AZ107" s="144">
        <v>0</v>
      </c>
      <c r="BA107" s="149">
        <v>0</v>
      </c>
      <c r="BB107" s="145">
        <f t="shared" ref="BB107:BB138" si="73">(IF(AY107="",0,AY107)*IF(AZ107="",0,AZ107)*IF(BA107="",0,BA107))/1000</f>
        <v>0</v>
      </c>
      <c r="BC107" s="150"/>
      <c r="BD107" s="151">
        <f t="shared" ref="BD107:BD138" si="74">IF(AQ107="",0,AQ107)+IF(AV107="",0,AV107)+IF(BB107="",0,BB107)</f>
        <v>0</v>
      </c>
      <c r="BE107" s="152">
        <f t="shared" ref="BE107:BE138" si="75">(BD107+AL107)</f>
        <v>0.45</v>
      </c>
      <c r="BF107" s="140" t="s">
        <v>120</v>
      </c>
      <c r="BG107" s="153" t="s">
        <v>120</v>
      </c>
      <c r="BH107" s="154" t="s">
        <v>120</v>
      </c>
      <c r="BI107" s="155" t="s">
        <v>120</v>
      </c>
      <c r="BJ107" s="156" t="s">
        <v>120</v>
      </c>
      <c r="BK107" s="157"/>
      <c r="BL107" s="158">
        <f>_xlfn.XLOOKUP(L107,[1]Auslegungsgrundlagen!$A$9:$A$100,[1]Auslegungsgrundlagen!$U$9:$U$100)</f>
        <v>40</v>
      </c>
      <c r="BM107" s="137">
        <v>0</v>
      </c>
      <c r="BN107" s="159">
        <v>0</v>
      </c>
      <c r="BO107" s="152">
        <f t="shared" ref="BO107:BO138" si="76">ROUND(IF(BN107&gt;0,BN107/1000,IF(BM107&gt;0,BM107/1000,BL107*N107/1000)),2)</f>
        <v>0.36</v>
      </c>
      <c r="BP107" s="140" t="s">
        <v>481</v>
      </c>
      <c r="BQ107" s="143">
        <f t="shared" si="65"/>
        <v>360</v>
      </c>
      <c r="BR107" s="160">
        <v>1</v>
      </c>
      <c r="BS107" s="142">
        <f t="shared" ref="BS107:BS138" si="77">(IF(BQ107="",0,BQ107)*IF(BR107="",0,BR107))/1000</f>
        <v>0.36</v>
      </c>
      <c r="BT107" s="140" t="s">
        <v>120</v>
      </c>
      <c r="BU107" s="143" t="s">
        <v>120</v>
      </c>
      <c r="BV107" s="160">
        <v>0</v>
      </c>
      <c r="BW107" s="145">
        <f t="shared" ref="BW107:BW138" si="78">(IF(BU107="",0,BU107)*IF(BV107="",0,BV107))/1000</f>
        <v>0</v>
      </c>
      <c r="BX107" s="146"/>
      <c r="BY107" s="140" t="s">
        <v>120</v>
      </c>
      <c r="BZ107" s="143" t="s">
        <v>120</v>
      </c>
      <c r="CA107" s="160">
        <v>0</v>
      </c>
      <c r="CB107" s="145">
        <f t="shared" ref="CB107:CB138" si="79">(IF(BZ107="",0,BZ107)*IF(CA107="",0,CA107))/1000</f>
        <v>0</v>
      </c>
      <c r="CC107" s="146"/>
      <c r="CD107" s="151">
        <f t="shared" ref="CD107:CD138" si="80">IF(BS107="",0,BS107)+IF(BW107="",0,BW107)+IF(CB107="",0,CB107)</f>
        <v>0.36</v>
      </c>
      <c r="CE107" s="161" t="s">
        <v>120</v>
      </c>
      <c r="CF107" s="162" t="s">
        <v>120</v>
      </c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ht="12.3">
      <c r="A108" s="128" t="s">
        <v>375</v>
      </c>
      <c r="B108" s="129">
        <v>3250</v>
      </c>
      <c r="C108" s="129">
        <v>12630</v>
      </c>
      <c r="D108" s="129"/>
      <c r="E108" s="129"/>
      <c r="F108" s="130"/>
      <c r="G108" s="131" t="s">
        <v>350</v>
      </c>
      <c r="H108" s="131" t="s">
        <v>120</v>
      </c>
      <c r="I108" s="131" t="s">
        <v>120</v>
      </c>
      <c r="J108" s="131" t="s">
        <v>376</v>
      </c>
      <c r="K108" s="131" t="s">
        <v>366</v>
      </c>
      <c r="L108" s="177">
        <v>2</v>
      </c>
      <c r="M108" s="131" t="str">
        <f>_xlfn.XLOOKUP(L108,[1]Auslegungsgrundlagen!$A$9:$A$100,[1]Auslegungsgrundlagen!$B$9:$B$100)</f>
        <v>Einzel-/Zweierbüros</v>
      </c>
      <c r="N108" s="132">
        <v>9</v>
      </c>
      <c r="O108" s="132">
        <v>26.55</v>
      </c>
      <c r="P108" s="133">
        <v>0</v>
      </c>
      <c r="Q108" s="134"/>
      <c r="R108" s="135">
        <f>_xlfn.XLOOKUP(L108,[1]Auslegungsgrundlagen!$A$9:$A$100,[1]Auslegungsgrundlagen!$M$9:$M$100)</f>
        <v>50</v>
      </c>
      <c r="S108" s="136">
        <f>_xlfn.XLOOKUP(L108,[1]Auslegungsgrundlagen!$A$9:$A$100,[1]Auslegungsgrundlagen!$Q$9:$Q$100)*P108</f>
        <v>0</v>
      </c>
      <c r="T108" s="137">
        <v>0</v>
      </c>
      <c r="U108" s="137">
        <v>0</v>
      </c>
      <c r="V108" s="138">
        <v>0</v>
      </c>
      <c r="W108" s="139">
        <f t="shared" si="66"/>
        <v>0.45</v>
      </c>
      <c r="X108" s="140" t="s">
        <v>481</v>
      </c>
      <c r="Y108" s="137">
        <f t="shared" si="64"/>
        <v>450</v>
      </c>
      <c r="Z108" s="141">
        <v>1</v>
      </c>
      <c r="AA108" s="142">
        <f t="shared" si="67"/>
        <v>0.45</v>
      </c>
      <c r="AB108" s="140" t="s">
        <v>120</v>
      </c>
      <c r="AC108" s="143" t="s">
        <v>120</v>
      </c>
      <c r="AD108" s="144">
        <v>0</v>
      </c>
      <c r="AE108" s="145">
        <f t="shared" si="68"/>
        <v>0</v>
      </c>
      <c r="AF108" s="146"/>
      <c r="AG108" s="140" t="s">
        <v>120</v>
      </c>
      <c r="AH108" s="143" t="s">
        <v>120</v>
      </c>
      <c r="AI108" s="144">
        <v>0</v>
      </c>
      <c r="AJ108" s="145">
        <f t="shared" si="69"/>
        <v>0</v>
      </c>
      <c r="AK108" s="146"/>
      <c r="AL108" s="147">
        <f t="shared" si="70"/>
        <v>0.45</v>
      </c>
      <c r="AM108" s="140" t="s">
        <v>120</v>
      </c>
      <c r="AN108" s="143" t="s">
        <v>120</v>
      </c>
      <c r="AO108" s="144">
        <v>0</v>
      </c>
      <c r="AP108" s="148">
        <v>0</v>
      </c>
      <c r="AQ108" s="142">
        <f t="shared" si="71"/>
        <v>0</v>
      </c>
      <c r="AR108" s="140" t="s">
        <v>120</v>
      </c>
      <c r="AS108" s="143" t="s">
        <v>120</v>
      </c>
      <c r="AT108" s="144">
        <v>0</v>
      </c>
      <c r="AU108" s="149">
        <v>0</v>
      </c>
      <c r="AV108" s="145">
        <f t="shared" si="72"/>
        <v>0</v>
      </c>
      <c r="AW108" s="146"/>
      <c r="AX108" s="140" t="s">
        <v>120</v>
      </c>
      <c r="AY108" s="143" t="s">
        <v>120</v>
      </c>
      <c r="AZ108" s="144">
        <v>0</v>
      </c>
      <c r="BA108" s="149">
        <v>0</v>
      </c>
      <c r="BB108" s="145">
        <f t="shared" si="73"/>
        <v>0</v>
      </c>
      <c r="BC108" s="150"/>
      <c r="BD108" s="151">
        <f t="shared" si="74"/>
        <v>0</v>
      </c>
      <c r="BE108" s="152">
        <f t="shared" si="75"/>
        <v>0.45</v>
      </c>
      <c r="BF108" s="140" t="s">
        <v>120</v>
      </c>
      <c r="BG108" s="153" t="s">
        <v>120</v>
      </c>
      <c r="BH108" s="154" t="s">
        <v>120</v>
      </c>
      <c r="BI108" s="155" t="s">
        <v>120</v>
      </c>
      <c r="BJ108" s="156" t="s">
        <v>120</v>
      </c>
      <c r="BK108" s="157"/>
      <c r="BL108" s="158">
        <f>_xlfn.XLOOKUP(L108,[1]Auslegungsgrundlagen!$A$9:$A$100,[1]Auslegungsgrundlagen!$U$9:$U$100)</f>
        <v>40</v>
      </c>
      <c r="BM108" s="137">
        <v>0</v>
      </c>
      <c r="BN108" s="159">
        <v>0</v>
      </c>
      <c r="BO108" s="152">
        <f t="shared" si="76"/>
        <v>0.36</v>
      </c>
      <c r="BP108" s="140" t="s">
        <v>481</v>
      </c>
      <c r="BQ108" s="143">
        <f t="shared" si="65"/>
        <v>360</v>
      </c>
      <c r="BR108" s="160">
        <v>1</v>
      </c>
      <c r="BS108" s="142">
        <f t="shared" si="77"/>
        <v>0.36</v>
      </c>
      <c r="BT108" s="140" t="s">
        <v>120</v>
      </c>
      <c r="BU108" s="143" t="s">
        <v>120</v>
      </c>
      <c r="BV108" s="160">
        <v>0</v>
      </c>
      <c r="BW108" s="145">
        <f t="shared" si="78"/>
        <v>0</v>
      </c>
      <c r="BX108" s="146"/>
      <c r="BY108" s="140" t="s">
        <v>120</v>
      </c>
      <c r="BZ108" s="143" t="s">
        <v>120</v>
      </c>
      <c r="CA108" s="160">
        <v>0</v>
      </c>
      <c r="CB108" s="145">
        <f t="shared" si="79"/>
        <v>0</v>
      </c>
      <c r="CC108" s="146"/>
      <c r="CD108" s="151">
        <f t="shared" si="80"/>
        <v>0.36</v>
      </c>
      <c r="CE108" s="161" t="s">
        <v>120</v>
      </c>
      <c r="CF108" s="162" t="s">
        <v>120</v>
      </c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ht="12.3">
      <c r="A109" s="128" t="s">
        <v>377</v>
      </c>
      <c r="B109" s="129">
        <v>3250</v>
      </c>
      <c r="C109" s="129">
        <v>12630</v>
      </c>
      <c r="D109" s="129"/>
      <c r="E109" s="129"/>
      <c r="F109" s="130"/>
      <c r="G109" s="131" t="s">
        <v>350</v>
      </c>
      <c r="H109" s="131" t="s">
        <v>120</v>
      </c>
      <c r="I109" s="131" t="s">
        <v>120</v>
      </c>
      <c r="J109" s="131" t="s">
        <v>378</v>
      </c>
      <c r="K109" s="131" t="s">
        <v>366</v>
      </c>
      <c r="L109" s="177">
        <v>2</v>
      </c>
      <c r="M109" s="131" t="str">
        <f>_xlfn.XLOOKUP(L109,[1]Auslegungsgrundlagen!$A$9:$A$100,[1]Auslegungsgrundlagen!$B$9:$B$100)</f>
        <v>Einzel-/Zweierbüros</v>
      </c>
      <c r="N109" s="132">
        <v>9</v>
      </c>
      <c r="O109" s="132">
        <v>26.55</v>
      </c>
      <c r="P109" s="133">
        <v>0</v>
      </c>
      <c r="Q109" s="134"/>
      <c r="R109" s="135">
        <f>_xlfn.XLOOKUP(L109,[1]Auslegungsgrundlagen!$A$9:$A$100,[1]Auslegungsgrundlagen!$M$9:$M$100)</f>
        <v>50</v>
      </c>
      <c r="S109" s="136">
        <f>_xlfn.XLOOKUP(L109,[1]Auslegungsgrundlagen!$A$9:$A$100,[1]Auslegungsgrundlagen!$Q$9:$Q$100)*P109</f>
        <v>0</v>
      </c>
      <c r="T109" s="137">
        <v>0</v>
      </c>
      <c r="U109" s="137">
        <v>0</v>
      </c>
      <c r="V109" s="138">
        <v>0</v>
      </c>
      <c r="W109" s="139">
        <f t="shared" si="66"/>
        <v>0.45</v>
      </c>
      <c r="X109" s="140" t="s">
        <v>481</v>
      </c>
      <c r="Y109" s="137">
        <f t="shared" si="64"/>
        <v>450</v>
      </c>
      <c r="Z109" s="141">
        <v>1</v>
      </c>
      <c r="AA109" s="142">
        <f t="shared" si="67"/>
        <v>0.45</v>
      </c>
      <c r="AB109" s="140" t="s">
        <v>120</v>
      </c>
      <c r="AC109" s="143" t="s">
        <v>120</v>
      </c>
      <c r="AD109" s="144">
        <v>0</v>
      </c>
      <c r="AE109" s="145">
        <f t="shared" si="68"/>
        <v>0</v>
      </c>
      <c r="AF109" s="146"/>
      <c r="AG109" s="140" t="s">
        <v>120</v>
      </c>
      <c r="AH109" s="143" t="s">
        <v>120</v>
      </c>
      <c r="AI109" s="144">
        <v>0</v>
      </c>
      <c r="AJ109" s="145">
        <f t="shared" si="69"/>
        <v>0</v>
      </c>
      <c r="AK109" s="146"/>
      <c r="AL109" s="147">
        <f t="shared" si="70"/>
        <v>0.45</v>
      </c>
      <c r="AM109" s="140" t="s">
        <v>120</v>
      </c>
      <c r="AN109" s="143" t="s">
        <v>120</v>
      </c>
      <c r="AO109" s="144">
        <v>0</v>
      </c>
      <c r="AP109" s="148">
        <v>0</v>
      </c>
      <c r="AQ109" s="142">
        <f t="shared" si="71"/>
        <v>0</v>
      </c>
      <c r="AR109" s="140" t="s">
        <v>120</v>
      </c>
      <c r="AS109" s="143" t="s">
        <v>120</v>
      </c>
      <c r="AT109" s="144">
        <v>0</v>
      </c>
      <c r="AU109" s="149">
        <v>0</v>
      </c>
      <c r="AV109" s="145">
        <f t="shared" si="72"/>
        <v>0</v>
      </c>
      <c r="AW109" s="146"/>
      <c r="AX109" s="140" t="s">
        <v>120</v>
      </c>
      <c r="AY109" s="143" t="s">
        <v>120</v>
      </c>
      <c r="AZ109" s="144">
        <v>0</v>
      </c>
      <c r="BA109" s="149">
        <v>0</v>
      </c>
      <c r="BB109" s="145">
        <f t="shared" si="73"/>
        <v>0</v>
      </c>
      <c r="BC109" s="150"/>
      <c r="BD109" s="151">
        <f t="shared" si="74"/>
        <v>0</v>
      </c>
      <c r="BE109" s="152">
        <f t="shared" si="75"/>
        <v>0.45</v>
      </c>
      <c r="BF109" s="140" t="s">
        <v>120</v>
      </c>
      <c r="BG109" s="153" t="s">
        <v>120</v>
      </c>
      <c r="BH109" s="154" t="s">
        <v>120</v>
      </c>
      <c r="BI109" s="155" t="s">
        <v>120</v>
      </c>
      <c r="BJ109" s="156" t="s">
        <v>120</v>
      </c>
      <c r="BK109" s="157"/>
      <c r="BL109" s="158">
        <f>_xlfn.XLOOKUP(L109,[1]Auslegungsgrundlagen!$A$9:$A$100,[1]Auslegungsgrundlagen!$U$9:$U$100)</f>
        <v>40</v>
      </c>
      <c r="BM109" s="137">
        <v>0</v>
      </c>
      <c r="BN109" s="159">
        <v>0</v>
      </c>
      <c r="BO109" s="152">
        <f t="shared" si="76"/>
        <v>0.36</v>
      </c>
      <c r="BP109" s="140" t="s">
        <v>481</v>
      </c>
      <c r="BQ109" s="143">
        <f t="shared" si="65"/>
        <v>360</v>
      </c>
      <c r="BR109" s="160">
        <v>1</v>
      </c>
      <c r="BS109" s="142">
        <f t="shared" si="77"/>
        <v>0.36</v>
      </c>
      <c r="BT109" s="140" t="s">
        <v>120</v>
      </c>
      <c r="BU109" s="143" t="s">
        <v>120</v>
      </c>
      <c r="BV109" s="160">
        <v>0</v>
      </c>
      <c r="BW109" s="145">
        <f t="shared" si="78"/>
        <v>0</v>
      </c>
      <c r="BX109" s="146"/>
      <c r="BY109" s="140" t="s">
        <v>120</v>
      </c>
      <c r="BZ109" s="143" t="s">
        <v>120</v>
      </c>
      <c r="CA109" s="160">
        <v>0</v>
      </c>
      <c r="CB109" s="145">
        <f t="shared" si="79"/>
        <v>0</v>
      </c>
      <c r="CC109" s="146"/>
      <c r="CD109" s="151">
        <f t="shared" si="80"/>
        <v>0.36</v>
      </c>
      <c r="CE109" s="161" t="s">
        <v>120</v>
      </c>
      <c r="CF109" s="162" t="s">
        <v>120</v>
      </c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ht="12.3">
      <c r="A110" s="128" t="s">
        <v>379</v>
      </c>
      <c r="B110" s="129">
        <v>3250</v>
      </c>
      <c r="C110" s="129">
        <v>17030</v>
      </c>
      <c r="D110" s="129"/>
      <c r="E110" s="129"/>
      <c r="F110" s="130"/>
      <c r="G110" s="131" t="s">
        <v>350</v>
      </c>
      <c r="H110" s="131" t="s">
        <v>120</v>
      </c>
      <c r="I110" s="131" t="s">
        <v>120</v>
      </c>
      <c r="J110" s="131" t="s">
        <v>380</v>
      </c>
      <c r="K110" s="131" t="s">
        <v>194</v>
      </c>
      <c r="L110" s="177">
        <v>2</v>
      </c>
      <c r="M110" s="131" t="str">
        <f>_xlfn.XLOOKUP(L110,[1]Auslegungsgrundlagen!$A$9:$A$100,[1]Auslegungsgrundlagen!$B$9:$B$100)</f>
        <v>Einzel-/Zweierbüros</v>
      </c>
      <c r="N110" s="132">
        <v>18</v>
      </c>
      <c r="O110" s="132">
        <v>54.35</v>
      </c>
      <c r="P110" s="133">
        <v>0</v>
      </c>
      <c r="Q110" s="134"/>
      <c r="R110" s="135">
        <f>_xlfn.XLOOKUP(L110,[1]Auslegungsgrundlagen!$A$9:$A$100,[1]Auslegungsgrundlagen!$M$9:$M$100)</f>
        <v>50</v>
      </c>
      <c r="S110" s="136">
        <f>_xlfn.XLOOKUP(L110,[1]Auslegungsgrundlagen!$A$9:$A$100,[1]Auslegungsgrundlagen!$Q$9:$Q$100)*P110</f>
        <v>0</v>
      </c>
      <c r="T110" s="137">
        <v>0</v>
      </c>
      <c r="U110" s="137">
        <v>0</v>
      </c>
      <c r="V110" s="138">
        <v>0</v>
      </c>
      <c r="W110" s="139">
        <f t="shared" si="66"/>
        <v>0.9</v>
      </c>
      <c r="X110" s="140" t="s">
        <v>481</v>
      </c>
      <c r="Y110" s="137">
        <f t="shared" si="64"/>
        <v>900</v>
      </c>
      <c r="Z110" s="141">
        <v>1</v>
      </c>
      <c r="AA110" s="142">
        <f t="shared" si="67"/>
        <v>0.9</v>
      </c>
      <c r="AB110" s="140" t="s">
        <v>120</v>
      </c>
      <c r="AC110" s="143" t="s">
        <v>120</v>
      </c>
      <c r="AD110" s="144">
        <v>0</v>
      </c>
      <c r="AE110" s="145">
        <f t="shared" si="68"/>
        <v>0</v>
      </c>
      <c r="AF110" s="146"/>
      <c r="AG110" s="140" t="s">
        <v>120</v>
      </c>
      <c r="AH110" s="143" t="s">
        <v>120</v>
      </c>
      <c r="AI110" s="144">
        <v>0</v>
      </c>
      <c r="AJ110" s="145">
        <f t="shared" si="69"/>
        <v>0</v>
      </c>
      <c r="AK110" s="146"/>
      <c r="AL110" s="147">
        <f t="shared" si="70"/>
        <v>0.9</v>
      </c>
      <c r="AM110" s="140" t="s">
        <v>120</v>
      </c>
      <c r="AN110" s="143" t="s">
        <v>120</v>
      </c>
      <c r="AO110" s="144">
        <v>0</v>
      </c>
      <c r="AP110" s="148">
        <v>0</v>
      </c>
      <c r="AQ110" s="142">
        <f t="shared" si="71"/>
        <v>0</v>
      </c>
      <c r="AR110" s="140" t="s">
        <v>120</v>
      </c>
      <c r="AS110" s="143" t="s">
        <v>120</v>
      </c>
      <c r="AT110" s="144">
        <v>0</v>
      </c>
      <c r="AU110" s="149">
        <v>0</v>
      </c>
      <c r="AV110" s="145">
        <f t="shared" si="72"/>
        <v>0</v>
      </c>
      <c r="AW110" s="146"/>
      <c r="AX110" s="140" t="s">
        <v>120</v>
      </c>
      <c r="AY110" s="143" t="s">
        <v>120</v>
      </c>
      <c r="AZ110" s="144">
        <v>0</v>
      </c>
      <c r="BA110" s="149">
        <v>0</v>
      </c>
      <c r="BB110" s="145">
        <f t="shared" si="73"/>
        <v>0</v>
      </c>
      <c r="BC110" s="150"/>
      <c r="BD110" s="151">
        <f t="shared" si="74"/>
        <v>0</v>
      </c>
      <c r="BE110" s="152">
        <f t="shared" si="75"/>
        <v>0.9</v>
      </c>
      <c r="BF110" s="140" t="s">
        <v>120</v>
      </c>
      <c r="BG110" s="153" t="s">
        <v>120</v>
      </c>
      <c r="BH110" s="154" t="s">
        <v>120</v>
      </c>
      <c r="BI110" s="155" t="s">
        <v>120</v>
      </c>
      <c r="BJ110" s="156" t="s">
        <v>120</v>
      </c>
      <c r="BK110" s="157"/>
      <c r="BL110" s="158">
        <f>_xlfn.XLOOKUP(L110,[1]Auslegungsgrundlagen!$A$9:$A$100,[1]Auslegungsgrundlagen!$U$9:$U$100)</f>
        <v>40</v>
      </c>
      <c r="BM110" s="137">
        <v>0</v>
      </c>
      <c r="BN110" s="159">
        <v>0</v>
      </c>
      <c r="BO110" s="152">
        <f t="shared" si="76"/>
        <v>0.72</v>
      </c>
      <c r="BP110" s="140" t="s">
        <v>481</v>
      </c>
      <c r="BQ110" s="143">
        <f t="shared" si="65"/>
        <v>720</v>
      </c>
      <c r="BR110" s="160">
        <v>1</v>
      </c>
      <c r="BS110" s="142">
        <f t="shared" si="77"/>
        <v>0.72</v>
      </c>
      <c r="BT110" s="140" t="s">
        <v>120</v>
      </c>
      <c r="BU110" s="143" t="s">
        <v>120</v>
      </c>
      <c r="BV110" s="160">
        <v>0</v>
      </c>
      <c r="BW110" s="145">
        <f t="shared" si="78"/>
        <v>0</v>
      </c>
      <c r="BX110" s="146"/>
      <c r="BY110" s="140" t="s">
        <v>120</v>
      </c>
      <c r="BZ110" s="143" t="s">
        <v>120</v>
      </c>
      <c r="CA110" s="160">
        <v>0</v>
      </c>
      <c r="CB110" s="145">
        <f t="shared" si="79"/>
        <v>0</v>
      </c>
      <c r="CC110" s="146"/>
      <c r="CD110" s="151">
        <f t="shared" si="80"/>
        <v>0.72</v>
      </c>
      <c r="CE110" s="161" t="s">
        <v>120</v>
      </c>
      <c r="CF110" s="162" t="s">
        <v>120</v>
      </c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ht="12.3">
      <c r="A111" s="128" t="s">
        <v>381</v>
      </c>
      <c r="B111" s="129">
        <v>3250</v>
      </c>
      <c r="C111" s="129">
        <v>12630</v>
      </c>
      <c r="D111" s="129"/>
      <c r="E111" s="129"/>
      <c r="F111" s="130"/>
      <c r="G111" s="131" t="s">
        <v>350</v>
      </c>
      <c r="H111" s="131" t="s">
        <v>120</v>
      </c>
      <c r="I111" s="131" t="s">
        <v>120</v>
      </c>
      <c r="J111" s="131" t="s">
        <v>382</v>
      </c>
      <c r="K111" s="131" t="s">
        <v>366</v>
      </c>
      <c r="L111" s="177">
        <v>2</v>
      </c>
      <c r="M111" s="131" t="str">
        <f>_xlfn.XLOOKUP(L111,[1]Auslegungsgrundlagen!$A$9:$A$100,[1]Auslegungsgrundlagen!$B$9:$B$100)</f>
        <v>Einzel-/Zweierbüros</v>
      </c>
      <c r="N111" s="132">
        <v>9</v>
      </c>
      <c r="O111" s="132">
        <v>26.55</v>
      </c>
      <c r="P111" s="133">
        <v>0</v>
      </c>
      <c r="Q111" s="134"/>
      <c r="R111" s="135">
        <f>_xlfn.XLOOKUP(L111,[1]Auslegungsgrundlagen!$A$9:$A$100,[1]Auslegungsgrundlagen!$M$9:$M$100)</f>
        <v>50</v>
      </c>
      <c r="S111" s="136">
        <f>_xlfn.XLOOKUP(L111,[1]Auslegungsgrundlagen!$A$9:$A$100,[1]Auslegungsgrundlagen!$Q$9:$Q$100)*P111</f>
        <v>0</v>
      </c>
      <c r="T111" s="137">
        <v>0</v>
      </c>
      <c r="U111" s="137">
        <v>0</v>
      </c>
      <c r="V111" s="138">
        <v>0</v>
      </c>
      <c r="W111" s="139">
        <f t="shared" si="66"/>
        <v>0.45</v>
      </c>
      <c r="X111" s="140" t="s">
        <v>481</v>
      </c>
      <c r="Y111" s="137">
        <f t="shared" si="64"/>
        <v>450</v>
      </c>
      <c r="Z111" s="141">
        <v>1</v>
      </c>
      <c r="AA111" s="142">
        <f t="shared" si="67"/>
        <v>0.45</v>
      </c>
      <c r="AB111" s="140" t="s">
        <v>120</v>
      </c>
      <c r="AC111" s="143" t="s">
        <v>120</v>
      </c>
      <c r="AD111" s="144">
        <v>0</v>
      </c>
      <c r="AE111" s="145">
        <f t="shared" si="68"/>
        <v>0</v>
      </c>
      <c r="AF111" s="146"/>
      <c r="AG111" s="140" t="s">
        <v>120</v>
      </c>
      <c r="AH111" s="143" t="s">
        <v>120</v>
      </c>
      <c r="AI111" s="144">
        <v>0</v>
      </c>
      <c r="AJ111" s="145">
        <f t="shared" si="69"/>
        <v>0</v>
      </c>
      <c r="AK111" s="146"/>
      <c r="AL111" s="147">
        <f t="shared" si="70"/>
        <v>0.45</v>
      </c>
      <c r="AM111" s="140" t="s">
        <v>120</v>
      </c>
      <c r="AN111" s="143" t="s">
        <v>120</v>
      </c>
      <c r="AO111" s="144">
        <v>0</v>
      </c>
      <c r="AP111" s="148">
        <v>0</v>
      </c>
      <c r="AQ111" s="142">
        <f t="shared" si="71"/>
        <v>0</v>
      </c>
      <c r="AR111" s="140" t="s">
        <v>120</v>
      </c>
      <c r="AS111" s="143" t="s">
        <v>120</v>
      </c>
      <c r="AT111" s="144">
        <v>0</v>
      </c>
      <c r="AU111" s="149">
        <v>0</v>
      </c>
      <c r="AV111" s="145">
        <f t="shared" si="72"/>
        <v>0</v>
      </c>
      <c r="AW111" s="146"/>
      <c r="AX111" s="140" t="s">
        <v>120</v>
      </c>
      <c r="AY111" s="143" t="s">
        <v>120</v>
      </c>
      <c r="AZ111" s="144">
        <v>0</v>
      </c>
      <c r="BA111" s="149">
        <v>0</v>
      </c>
      <c r="BB111" s="145">
        <f t="shared" si="73"/>
        <v>0</v>
      </c>
      <c r="BC111" s="150"/>
      <c r="BD111" s="151">
        <f t="shared" si="74"/>
        <v>0</v>
      </c>
      <c r="BE111" s="152">
        <f t="shared" si="75"/>
        <v>0.45</v>
      </c>
      <c r="BF111" s="140" t="s">
        <v>120</v>
      </c>
      <c r="BG111" s="153" t="s">
        <v>120</v>
      </c>
      <c r="BH111" s="154" t="s">
        <v>120</v>
      </c>
      <c r="BI111" s="155" t="s">
        <v>120</v>
      </c>
      <c r="BJ111" s="156" t="s">
        <v>120</v>
      </c>
      <c r="BK111" s="157"/>
      <c r="BL111" s="158">
        <f>_xlfn.XLOOKUP(L111,[1]Auslegungsgrundlagen!$A$9:$A$100,[1]Auslegungsgrundlagen!$U$9:$U$100)</f>
        <v>40</v>
      </c>
      <c r="BM111" s="137">
        <v>0</v>
      </c>
      <c r="BN111" s="159">
        <v>0</v>
      </c>
      <c r="BO111" s="152">
        <f t="shared" si="76"/>
        <v>0.36</v>
      </c>
      <c r="BP111" s="140" t="s">
        <v>481</v>
      </c>
      <c r="BQ111" s="143">
        <f t="shared" si="65"/>
        <v>360</v>
      </c>
      <c r="BR111" s="160">
        <v>1</v>
      </c>
      <c r="BS111" s="142">
        <f t="shared" si="77"/>
        <v>0.36</v>
      </c>
      <c r="BT111" s="140" t="s">
        <v>120</v>
      </c>
      <c r="BU111" s="143" t="s">
        <v>120</v>
      </c>
      <c r="BV111" s="160">
        <v>0</v>
      </c>
      <c r="BW111" s="145">
        <f t="shared" si="78"/>
        <v>0</v>
      </c>
      <c r="BX111" s="146"/>
      <c r="BY111" s="140" t="s">
        <v>120</v>
      </c>
      <c r="BZ111" s="143" t="s">
        <v>120</v>
      </c>
      <c r="CA111" s="160">
        <v>0</v>
      </c>
      <c r="CB111" s="145">
        <f t="shared" si="79"/>
        <v>0</v>
      </c>
      <c r="CC111" s="146"/>
      <c r="CD111" s="151">
        <f t="shared" si="80"/>
        <v>0.36</v>
      </c>
      <c r="CE111" s="161" t="s">
        <v>120</v>
      </c>
      <c r="CF111" s="162" t="s">
        <v>120</v>
      </c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ht="12.3">
      <c r="A112" s="128" t="s">
        <v>383</v>
      </c>
      <c r="B112" s="129">
        <v>3250</v>
      </c>
      <c r="C112" s="129">
        <v>12530</v>
      </c>
      <c r="D112" s="129"/>
      <c r="E112" s="129"/>
      <c r="F112" s="130"/>
      <c r="G112" s="131" t="s">
        <v>350</v>
      </c>
      <c r="H112" s="131" t="s">
        <v>120</v>
      </c>
      <c r="I112" s="131" t="s">
        <v>120</v>
      </c>
      <c r="J112" s="131" t="s">
        <v>384</v>
      </c>
      <c r="K112" s="131" t="s">
        <v>385</v>
      </c>
      <c r="L112" s="177">
        <v>2</v>
      </c>
      <c r="M112" s="131" t="str">
        <f>_xlfn.XLOOKUP(L112,[1]Auslegungsgrundlagen!$A$9:$A$100,[1]Auslegungsgrundlagen!$B$9:$B$100)</f>
        <v>Einzel-/Zweierbüros</v>
      </c>
      <c r="N112" s="132">
        <v>9</v>
      </c>
      <c r="O112" s="132">
        <v>25.92</v>
      </c>
      <c r="P112" s="133">
        <v>0</v>
      </c>
      <c r="Q112" s="134"/>
      <c r="R112" s="135">
        <f>_xlfn.XLOOKUP(L112,[1]Auslegungsgrundlagen!$A$9:$A$100,[1]Auslegungsgrundlagen!$M$9:$M$100)</f>
        <v>50</v>
      </c>
      <c r="S112" s="136">
        <f>_xlfn.XLOOKUP(L112,[1]Auslegungsgrundlagen!$A$9:$A$100,[1]Auslegungsgrundlagen!$Q$9:$Q$100)*P112</f>
        <v>0</v>
      </c>
      <c r="T112" s="137">
        <v>0</v>
      </c>
      <c r="U112" s="137">
        <v>0</v>
      </c>
      <c r="V112" s="138">
        <v>0</v>
      </c>
      <c r="W112" s="139">
        <f t="shared" si="66"/>
        <v>0.45</v>
      </c>
      <c r="X112" s="140" t="s">
        <v>481</v>
      </c>
      <c r="Y112" s="137">
        <f t="shared" si="64"/>
        <v>450</v>
      </c>
      <c r="Z112" s="141">
        <v>1</v>
      </c>
      <c r="AA112" s="142">
        <f t="shared" si="67"/>
        <v>0.45</v>
      </c>
      <c r="AB112" s="140" t="s">
        <v>120</v>
      </c>
      <c r="AC112" s="143" t="s">
        <v>120</v>
      </c>
      <c r="AD112" s="144">
        <v>0</v>
      </c>
      <c r="AE112" s="145">
        <f t="shared" si="68"/>
        <v>0</v>
      </c>
      <c r="AF112" s="146"/>
      <c r="AG112" s="140" t="s">
        <v>120</v>
      </c>
      <c r="AH112" s="143" t="s">
        <v>120</v>
      </c>
      <c r="AI112" s="144">
        <v>0</v>
      </c>
      <c r="AJ112" s="145">
        <f t="shared" si="69"/>
        <v>0</v>
      </c>
      <c r="AK112" s="146"/>
      <c r="AL112" s="147">
        <f t="shared" si="70"/>
        <v>0.45</v>
      </c>
      <c r="AM112" s="140" t="s">
        <v>120</v>
      </c>
      <c r="AN112" s="143" t="s">
        <v>120</v>
      </c>
      <c r="AO112" s="144">
        <v>0</v>
      </c>
      <c r="AP112" s="148">
        <v>0</v>
      </c>
      <c r="AQ112" s="142">
        <f t="shared" si="71"/>
        <v>0</v>
      </c>
      <c r="AR112" s="140" t="s">
        <v>120</v>
      </c>
      <c r="AS112" s="143" t="s">
        <v>120</v>
      </c>
      <c r="AT112" s="144">
        <v>0</v>
      </c>
      <c r="AU112" s="149">
        <v>0</v>
      </c>
      <c r="AV112" s="145">
        <f t="shared" si="72"/>
        <v>0</v>
      </c>
      <c r="AW112" s="146"/>
      <c r="AX112" s="140" t="s">
        <v>120</v>
      </c>
      <c r="AY112" s="143" t="s">
        <v>120</v>
      </c>
      <c r="AZ112" s="144">
        <v>0</v>
      </c>
      <c r="BA112" s="149">
        <v>0</v>
      </c>
      <c r="BB112" s="145">
        <f t="shared" si="73"/>
        <v>0</v>
      </c>
      <c r="BC112" s="150"/>
      <c r="BD112" s="151">
        <f t="shared" si="74"/>
        <v>0</v>
      </c>
      <c r="BE112" s="152">
        <f t="shared" si="75"/>
        <v>0.45</v>
      </c>
      <c r="BF112" s="140" t="s">
        <v>120</v>
      </c>
      <c r="BG112" s="153" t="s">
        <v>120</v>
      </c>
      <c r="BH112" s="154" t="s">
        <v>120</v>
      </c>
      <c r="BI112" s="155" t="s">
        <v>120</v>
      </c>
      <c r="BJ112" s="156" t="s">
        <v>120</v>
      </c>
      <c r="BK112" s="157"/>
      <c r="BL112" s="158">
        <f>_xlfn.XLOOKUP(L112,[1]Auslegungsgrundlagen!$A$9:$A$100,[1]Auslegungsgrundlagen!$U$9:$U$100)</f>
        <v>40</v>
      </c>
      <c r="BM112" s="137">
        <v>0</v>
      </c>
      <c r="BN112" s="159">
        <v>0</v>
      </c>
      <c r="BO112" s="152">
        <f t="shared" si="76"/>
        <v>0.36</v>
      </c>
      <c r="BP112" s="140" t="s">
        <v>481</v>
      </c>
      <c r="BQ112" s="143">
        <f t="shared" si="65"/>
        <v>360</v>
      </c>
      <c r="BR112" s="160">
        <v>1</v>
      </c>
      <c r="BS112" s="142">
        <f t="shared" si="77"/>
        <v>0.36</v>
      </c>
      <c r="BT112" s="140" t="s">
        <v>120</v>
      </c>
      <c r="BU112" s="143" t="s">
        <v>120</v>
      </c>
      <c r="BV112" s="160">
        <v>0</v>
      </c>
      <c r="BW112" s="145">
        <f t="shared" si="78"/>
        <v>0</v>
      </c>
      <c r="BX112" s="146"/>
      <c r="BY112" s="140" t="s">
        <v>120</v>
      </c>
      <c r="BZ112" s="143" t="s">
        <v>120</v>
      </c>
      <c r="CA112" s="160">
        <v>0</v>
      </c>
      <c r="CB112" s="145">
        <f t="shared" si="79"/>
        <v>0</v>
      </c>
      <c r="CC112" s="146"/>
      <c r="CD112" s="151">
        <f t="shared" si="80"/>
        <v>0.36</v>
      </c>
      <c r="CE112" s="161" t="s">
        <v>120</v>
      </c>
      <c r="CF112" s="162" t="s">
        <v>120</v>
      </c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ht="12.3">
      <c r="A113" s="128" t="s">
        <v>388</v>
      </c>
      <c r="B113" s="129">
        <v>3250</v>
      </c>
      <c r="C113" s="129">
        <v>11748</v>
      </c>
      <c r="D113" s="129"/>
      <c r="E113" s="129"/>
      <c r="F113" s="130"/>
      <c r="G113" s="131" t="s">
        <v>350</v>
      </c>
      <c r="H113" s="131" t="s">
        <v>120</v>
      </c>
      <c r="I113" s="131" t="s">
        <v>120</v>
      </c>
      <c r="J113" s="131" t="s">
        <v>389</v>
      </c>
      <c r="K113" s="131" t="s">
        <v>168</v>
      </c>
      <c r="L113" s="177">
        <v>18</v>
      </c>
      <c r="M113" s="131" t="str">
        <f>_xlfn.XLOOKUP(L113,[1]Auslegungsgrundlagen!$A$9:$A$100,[1]Auslegungsgrundlagen!$B$9:$B$100)</f>
        <v>Schächte</v>
      </c>
      <c r="N113" s="132">
        <v>8</v>
      </c>
      <c r="O113" s="132">
        <v>23.24</v>
      </c>
      <c r="P113" s="133">
        <v>0</v>
      </c>
      <c r="Q113" s="134"/>
      <c r="R113" s="135">
        <f>_xlfn.XLOOKUP(L113,[1]Auslegungsgrundlagen!$A$9:$A$100,[1]Auslegungsgrundlagen!$M$9:$M$100)</f>
        <v>0</v>
      </c>
      <c r="S113" s="136">
        <f>_xlfn.XLOOKUP(L113,[1]Auslegungsgrundlagen!$A$9:$A$100,[1]Auslegungsgrundlagen!$Q$9:$Q$100)*P113</f>
        <v>0</v>
      </c>
      <c r="T113" s="137">
        <v>0</v>
      </c>
      <c r="U113" s="137">
        <v>0</v>
      </c>
      <c r="V113" s="138">
        <v>0</v>
      </c>
      <c r="W113" s="139">
        <f t="shared" si="66"/>
        <v>0</v>
      </c>
      <c r="X113" s="140" t="s">
        <v>120</v>
      </c>
      <c r="Y113" s="137" t="s">
        <v>120</v>
      </c>
      <c r="Z113" s="141">
        <v>0</v>
      </c>
      <c r="AA113" s="142">
        <f t="shared" si="67"/>
        <v>0</v>
      </c>
      <c r="AB113" s="140" t="s">
        <v>120</v>
      </c>
      <c r="AC113" s="143" t="s">
        <v>120</v>
      </c>
      <c r="AD113" s="144">
        <v>0</v>
      </c>
      <c r="AE113" s="145">
        <f t="shared" si="68"/>
        <v>0</v>
      </c>
      <c r="AF113" s="146"/>
      <c r="AG113" s="140" t="s">
        <v>120</v>
      </c>
      <c r="AH113" s="143" t="s">
        <v>120</v>
      </c>
      <c r="AI113" s="144">
        <v>0</v>
      </c>
      <c r="AJ113" s="145">
        <f t="shared" si="69"/>
        <v>0</v>
      </c>
      <c r="AK113" s="146"/>
      <c r="AL113" s="147">
        <f t="shared" si="70"/>
        <v>0</v>
      </c>
      <c r="AM113" s="140" t="s">
        <v>120</v>
      </c>
      <c r="AN113" s="143" t="s">
        <v>120</v>
      </c>
      <c r="AO113" s="144">
        <v>0</v>
      </c>
      <c r="AP113" s="148">
        <v>0</v>
      </c>
      <c r="AQ113" s="142">
        <f t="shared" si="71"/>
        <v>0</v>
      </c>
      <c r="AR113" s="140" t="s">
        <v>120</v>
      </c>
      <c r="AS113" s="143" t="s">
        <v>120</v>
      </c>
      <c r="AT113" s="144">
        <v>0</v>
      </c>
      <c r="AU113" s="149">
        <v>0</v>
      </c>
      <c r="AV113" s="145">
        <f t="shared" si="72"/>
        <v>0</v>
      </c>
      <c r="AW113" s="146"/>
      <c r="AX113" s="140" t="s">
        <v>120</v>
      </c>
      <c r="AY113" s="143" t="s">
        <v>120</v>
      </c>
      <c r="AZ113" s="144">
        <v>0</v>
      </c>
      <c r="BA113" s="149">
        <v>0</v>
      </c>
      <c r="BB113" s="145">
        <f t="shared" si="73"/>
        <v>0</v>
      </c>
      <c r="BC113" s="150"/>
      <c r="BD113" s="151">
        <f t="shared" si="74"/>
        <v>0</v>
      </c>
      <c r="BE113" s="152">
        <f t="shared" si="75"/>
        <v>0</v>
      </c>
      <c r="BF113" s="140" t="s">
        <v>120</v>
      </c>
      <c r="BG113" s="153" t="s">
        <v>120</v>
      </c>
      <c r="BH113" s="154" t="s">
        <v>120</v>
      </c>
      <c r="BI113" s="155" t="s">
        <v>120</v>
      </c>
      <c r="BJ113" s="156" t="s">
        <v>120</v>
      </c>
      <c r="BK113" s="157"/>
      <c r="BL113" s="158">
        <f>_xlfn.XLOOKUP(L113,[1]Auslegungsgrundlagen!$A$9:$A$100,[1]Auslegungsgrundlagen!$U$9:$U$100)</f>
        <v>0</v>
      </c>
      <c r="BM113" s="137">
        <v>0</v>
      </c>
      <c r="BN113" s="159">
        <v>0</v>
      </c>
      <c r="BO113" s="152">
        <f t="shared" si="76"/>
        <v>0</v>
      </c>
      <c r="BP113" s="140" t="s">
        <v>120</v>
      </c>
      <c r="BQ113" s="143" t="s">
        <v>120</v>
      </c>
      <c r="BR113" s="160">
        <v>0</v>
      </c>
      <c r="BS113" s="142">
        <f t="shared" si="77"/>
        <v>0</v>
      </c>
      <c r="BT113" s="140" t="s">
        <v>120</v>
      </c>
      <c r="BU113" s="143" t="s">
        <v>120</v>
      </c>
      <c r="BV113" s="160">
        <v>0</v>
      </c>
      <c r="BW113" s="145">
        <f t="shared" si="78"/>
        <v>0</v>
      </c>
      <c r="BX113" s="146"/>
      <c r="BY113" s="140" t="s">
        <v>120</v>
      </c>
      <c r="BZ113" s="143" t="s">
        <v>120</v>
      </c>
      <c r="CA113" s="160">
        <v>0</v>
      </c>
      <c r="CB113" s="145">
        <f t="shared" si="79"/>
        <v>0</v>
      </c>
      <c r="CC113" s="146"/>
      <c r="CD113" s="151">
        <f t="shared" si="80"/>
        <v>0</v>
      </c>
      <c r="CE113" s="161" t="s">
        <v>120</v>
      </c>
      <c r="CF113" s="162" t="s">
        <v>120</v>
      </c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ht="12.3">
      <c r="A114" s="128" t="s">
        <v>390</v>
      </c>
      <c r="B114" s="129">
        <v>3250</v>
      </c>
      <c r="C114" s="129">
        <v>11748</v>
      </c>
      <c r="D114" s="129"/>
      <c r="E114" s="129"/>
      <c r="F114" s="130"/>
      <c r="G114" s="131" t="s">
        <v>350</v>
      </c>
      <c r="H114" s="131" t="s">
        <v>120</v>
      </c>
      <c r="I114" s="131" t="s">
        <v>120</v>
      </c>
      <c r="J114" s="131" t="s">
        <v>391</v>
      </c>
      <c r="K114" s="131" t="s">
        <v>483</v>
      </c>
      <c r="L114" s="177">
        <v>13</v>
      </c>
      <c r="M114" s="131" t="str">
        <f>_xlfn.XLOOKUP(L114,[1]Auslegungsgrundlagen!$A$9:$A$100,[1]Auslegungsgrundlagen!$B$9:$B$100)</f>
        <v>Etagenverteiler</v>
      </c>
      <c r="N114" s="132">
        <v>8</v>
      </c>
      <c r="O114" s="132">
        <v>23.24</v>
      </c>
      <c r="P114" s="133">
        <v>0</v>
      </c>
      <c r="Q114" s="134"/>
      <c r="R114" s="135">
        <f>_xlfn.XLOOKUP(L114,[1]Auslegungsgrundlagen!$A$9:$A$100,[1]Auslegungsgrundlagen!$M$9:$M$100)</f>
        <v>0</v>
      </c>
      <c r="S114" s="136">
        <f>_xlfn.XLOOKUP(L114,[1]Auslegungsgrundlagen!$A$9:$A$100,[1]Auslegungsgrundlagen!$Q$9:$Q$100)*P114</f>
        <v>0</v>
      </c>
      <c r="T114" s="137">
        <v>3500</v>
      </c>
      <c r="U114" s="137">
        <v>0</v>
      </c>
      <c r="V114" s="138">
        <v>0</v>
      </c>
      <c r="W114" s="139">
        <f t="shared" si="66"/>
        <v>3.5</v>
      </c>
      <c r="X114" s="140" t="s">
        <v>11</v>
      </c>
      <c r="Y114" s="137">
        <f>W114*1000</f>
        <v>3500</v>
      </c>
      <c r="Z114" s="141">
        <v>1</v>
      </c>
      <c r="AA114" s="142">
        <f t="shared" si="67"/>
        <v>3.5</v>
      </c>
      <c r="AB114" s="140" t="s">
        <v>120</v>
      </c>
      <c r="AC114" s="143" t="s">
        <v>120</v>
      </c>
      <c r="AD114" s="144">
        <v>0</v>
      </c>
      <c r="AE114" s="145">
        <f t="shared" si="68"/>
        <v>0</v>
      </c>
      <c r="AF114" s="146"/>
      <c r="AG114" s="140" t="s">
        <v>120</v>
      </c>
      <c r="AH114" s="143" t="s">
        <v>120</v>
      </c>
      <c r="AI114" s="144">
        <v>0</v>
      </c>
      <c r="AJ114" s="145">
        <f t="shared" si="69"/>
        <v>0</v>
      </c>
      <c r="AK114" s="146"/>
      <c r="AL114" s="147">
        <f t="shared" si="70"/>
        <v>3.5</v>
      </c>
      <c r="AM114" s="140" t="s">
        <v>120</v>
      </c>
      <c r="AN114" s="143" t="s">
        <v>120</v>
      </c>
      <c r="AO114" s="144">
        <v>0</v>
      </c>
      <c r="AP114" s="148">
        <v>0</v>
      </c>
      <c r="AQ114" s="142">
        <f t="shared" si="71"/>
        <v>0</v>
      </c>
      <c r="AR114" s="140" t="s">
        <v>120</v>
      </c>
      <c r="AS114" s="143" t="s">
        <v>120</v>
      </c>
      <c r="AT114" s="144">
        <v>0</v>
      </c>
      <c r="AU114" s="149">
        <v>0</v>
      </c>
      <c r="AV114" s="145">
        <f t="shared" si="72"/>
        <v>0</v>
      </c>
      <c r="AW114" s="146"/>
      <c r="AX114" s="140" t="s">
        <v>120</v>
      </c>
      <c r="AY114" s="143" t="s">
        <v>120</v>
      </c>
      <c r="AZ114" s="144">
        <v>0</v>
      </c>
      <c r="BA114" s="149">
        <v>0</v>
      </c>
      <c r="BB114" s="145">
        <f t="shared" si="73"/>
        <v>0</v>
      </c>
      <c r="BC114" s="150"/>
      <c r="BD114" s="151">
        <f t="shared" si="74"/>
        <v>0</v>
      </c>
      <c r="BE114" s="152">
        <f t="shared" si="75"/>
        <v>3.5</v>
      </c>
      <c r="BF114" s="140" t="s">
        <v>120</v>
      </c>
      <c r="BG114" s="153" t="s">
        <v>120</v>
      </c>
      <c r="BH114" s="154" t="s">
        <v>120</v>
      </c>
      <c r="BI114" s="155" t="s">
        <v>120</v>
      </c>
      <c r="BJ114" s="156" t="s">
        <v>120</v>
      </c>
      <c r="BK114" s="157"/>
      <c r="BL114" s="158">
        <f>_xlfn.XLOOKUP(L114,[1]Auslegungsgrundlagen!$A$9:$A$100,[1]Auslegungsgrundlagen!$U$9:$U$100)</f>
        <v>0</v>
      </c>
      <c r="BM114" s="137">
        <v>0</v>
      </c>
      <c r="BN114" s="159">
        <v>0</v>
      </c>
      <c r="BO114" s="152">
        <f t="shared" si="76"/>
        <v>0</v>
      </c>
      <c r="BP114" s="140" t="s">
        <v>120</v>
      </c>
      <c r="BQ114" s="143" t="s">
        <v>120</v>
      </c>
      <c r="BR114" s="160">
        <v>0</v>
      </c>
      <c r="BS114" s="142">
        <f t="shared" si="77"/>
        <v>0</v>
      </c>
      <c r="BT114" s="140" t="s">
        <v>120</v>
      </c>
      <c r="BU114" s="143" t="s">
        <v>120</v>
      </c>
      <c r="BV114" s="160">
        <v>0</v>
      </c>
      <c r="BW114" s="145">
        <f t="shared" si="78"/>
        <v>0</v>
      </c>
      <c r="BX114" s="146"/>
      <c r="BY114" s="140" t="s">
        <v>120</v>
      </c>
      <c r="BZ114" s="143" t="s">
        <v>120</v>
      </c>
      <c r="CA114" s="160">
        <v>0</v>
      </c>
      <c r="CB114" s="145">
        <f t="shared" si="79"/>
        <v>0</v>
      </c>
      <c r="CC114" s="146"/>
      <c r="CD114" s="151">
        <f t="shared" si="80"/>
        <v>0</v>
      </c>
      <c r="CE114" s="161" t="s">
        <v>120</v>
      </c>
      <c r="CF114" s="162" t="s">
        <v>120</v>
      </c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ht="12.3">
      <c r="A115" s="128" t="s">
        <v>386</v>
      </c>
      <c r="B115" s="129">
        <v>3250</v>
      </c>
      <c r="C115" s="129">
        <v>41045</v>
      </c>
      <c r="D115" s="129"/>
      <c r="E115" s="129"/>
      <c r="F115" s="130"/>
      <c r="G115" s="131" t="s">
        <v>350</v>
      </c>
      <c r="H115" s="131" t="s">
        <v>120</v>
      </c>
      <c r="I115" s="131" t="s">
        <v>120</v>
      </c>
      <c r="J115" s="131" t="s">
        <v>387</v>
      </c>
      <c r="K115" s="131" t="s">
        <v>156</v>
      </c>
      <c r="L115" s="177">
        <v>17</v>
      </c>
      <c r="M115" s="131" t="str">
        <f>_xlfn.XLOOKUP(L115,[1]Auslegungsgrundlagen!$A$9:$A$100,[1]Auslegungsgrundlagen!$B$9:$B$100)</f>
        <v>Treppenhäuser/Magistrale</v>
      </c>
      <c r="N115" s="132">
        <v>57</v>
      </c>
      <c r="O115" s="132">
        <v>172.35</v>
      </c>
      <c r="P115" s="133">
        <v>0</v>
      </c>
      <c r="Q115" s="134"/>
      <c r="R115" s="135">
        <f>_xlfn.XLOOKUP(L115,[1]Auslegungsgrundlagen!$A$9:$A$100,[1]Auslegungsgrundlagen!$M$9:$M$100)</f>
        <v>0</v>
      </c>
      <c r="S115" s="136">
        <f>_xlfn.XLOOKUP(L115,[1]Auslegungsgrundlagen!$A$9:$A$100,[1]Auslegungsgrundlagen!$Q$9:$Q$100)*P115</f>
        <v>0</v>
      </c>
      <c r="T115" s="137">
        <v>0</v>
      </c>
      <c r="U115" s="137">
        <v>0</v>
      </c>
      <c r="V115" s="138">
        <v>0</v>
      </c>
      <c r="W115" s="139">
        <f t="shared" si="66"/>
        <v>0</v>
      </c>
      <c r="X115" s="140" t="s">
        <v>120</v>
      </c>
      <c r="Y115" s="137" t="s">
        <v>120</v>
      </c>
      <c r="Z115" s="141">
        <v>0</v>
      </c>
      <c r="AA115" s="142">
        <f t="shared" si="67"/>
        <v>0</v>
      </c>
      <c r="AB115" s="140" t="s">
        <v>120</v>
      </c>
      <c r="AC115" s="143" t="s">
        <v>120</v>
      </c>
      <c r="AD115" s="144">
        <v>0</v>
      </c>
      <c r="AE115" s="145">
        <f t="shared" si="68"/>
        <v>0</v>
      </c>
      <c r="AF115" s="146"/>
      <c r="AG115" s="140" t="s">
        <v>120</v>
      </c>
      <c r="AH115" s="143" t="s">
        <v>120</v>
      </c>
      <c r="AI115" s="144">
        <v>0</v>
      </c>
      <c r="AJ115" s="145">
        <f t="shared" si="69"/>
        <v>0</v>
      </c>
      <c r="AK115" s="146"/>
      <c r="AL115" s="147">
        <f t="shared" si="70"/>
        <v>0</v>
      </c>
      <c r="AM115" s="140" t="s">
        <v>120</v>
      </c>
      <c r="AN115" s="143" t="s">
        <v>120</v>
      </c>
      <c r="AO115" s="144">
        <v>0</v>
      </c>
      <c r="AP115" s="148">
        <v>0</v>
      </c>
      <c r="AQ115" s="142">
        <f t="shared" si="71"/>
        <v>0</v>
      </c>
      <c r="AR115" s="140" t="s">
        <v>120</v>
      </c>
      <c r="AS115" s="143" t="s">
        <v>120</v>
      </c>
      <c r="AT115" s="144">
        <v>0</v>
      </c>
      <c r="AU115" s="149">
        <v>0</v>
      </c>
      <c r="AV115" s="145">
        <f t="shared" si="72"/>
        <v>0</v>
      </c>
      <c r="AW115" s="146"/>
      <c r="AX115" s="140" t="s">
        <v>120</v>
      </c>
      <c r="AY115" s="143" t="s">
        <v>120</v>
      </c>
      <c r="AZ115" s="144">
        <v>0</v>
      </c>
      <c r="BA115" s="149">
        <v>0</v>
      </c>
      <c r="BB115" s="145">
        <f t="shared" si="73"/>
        <v>0</v>
      </c>
      <c r="BC115" s="150"/>
      <c r="BD115" s="151">
        <f t="shared" si="74"/>
        <v>0</v>
      </c>
      <c r="BE115" s="152">
        <f t="shared" si="75"/>
        <v>0</v>
      </c>
      <c r="BF115" s="140" t="s">
        <v>120</v>
      </c>
      <c r="BG115" s="153" t="s">
        <v>120</v>
      </c>
      <c r="BH115" s="154" t="s">
        <v>120</v>
      </c>
      <c r="BI115" s="155" t="s">
        <v>120</v>
      </c>
      <c r="BJ115" s="156" t="s">
        <v>120</v>
      </c>
      <c r="BK115" s="157"/>
      <c r="BL115" s="158">
        <f>_xlfn.XLOOKUP(L115,[1]Auslegungsgrundlagen!$A$9:$A$100,[1]Auslegungsgrundlagen!$U$9:$U$100)</f>
        <v>25</v>
      </c>
      <c r="BM115" s="137">
        <v>0</v>
      </c>
      <c r="BN115" s="159">
        <v>0</v>
      </c>
      <c r="BO115" s="152">
        <f t="shared" si="76"/>
        <v>1.43</v>
      </c>
      <c r="BP115" s="140" t="s">
        <v>12</v>
      </c>
      <c r="BQ115" s="143">
        <f t="shared" ref="BQ115" si="81">BO115*1000</f>
        <v>1430</v>
      </c>
      <c r="BR115" s="160">
        <v>1</v>
      </c>
      <c r="BS115" s="142">
        <f t="shared" si="77"/>
        <v>1.43</v>
      </c>
      <c r="BT115" s="140" t="s">
        <v>120</v>
      </c>
      <c r="BU115" s="143" t="s">
        <v>120</v>
      </c>
      <c r="BV115" s="160">
        <v>0</v>
      </c>
      <c r="BW115" s="145">
        <f t="shared" si="78"/>
        <v>0</v>
      </c>
      <c r="BX115" s="146"/>
      <c r="BY115" s="140" t="s">
        <v>120</v>
      </c>
      <c r="BZ115" s="143" t="s">
        <v>120</v>
      </c>
      <c r="CA115" s="160">
        <v>0</v>
      </c>
      <c r="CB115" s="145">
        <f t="shared" si="79"/>
        <v>0</v>
      </c>
      <c r="CC115" s="146"/>
      <c r="CD115" s="151">
        <f t="shared" si="80"/>
        <v>1.43</v>
      </c>
      <c r="CE115" s="161" t="s">
        <v>120</v>
      </c>
      <c r="CF115" s="162" t="s">
        <v>120</v>
      </c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ht="12.3">
      <c r="A116" s="128" t="s">
        <v>349</v>
      </c>
      <c r="B116" s="129">
        <v>3250</v>
      </c>
      <c r="C116" s="129">
        <v>12355</v>
      </c>
      <c r="D116" s="129"/>
      <c r="E116" s="129"/>
      <c r="F116" s="130"/>
      <c r="G116" s="131" t="s">
        <v>350</v>
      </c>
      <c r="H116" s="131" t="s">
        <v>120</v>
      </c>
      <c r="I116" s="131" t="s">
        <v>120</v>
      </c>
      <c r="J116" s="131" t="s">
        <v>351</v>
      </c>
      <c r="K116" s="131" t="s">
        <v>352</v>
      </c>
      <c r="L116" s="177">
        <v>10</v>
      </c>
      <c r="M116" s="131" t="str">
        <f>_xlfn.XLOOKUP(L116,[1]Auslegungsgrundlagen!$A$9:$A$100,[1]Auslegungsgrundlagen!$B$9:$B$100)</f>
        <v>Putzmittel/ Lager</v>
      </c>
      <c r="N116" s="132">
        <v>10</v>
      </c>
      <c r="O116" s="132">
        <v>28.52</v>
      </c>
      <c r="P116" s="133">
        <v>0</v>
      </c>
      <c r="Q116" s="134"/>
      <c r="R116" s="135">
        <f>_xlfn.XLOOKUP(L116,[1]Auslegungsgrundlagen!$A$9:$A$100,[1]Auslegungsgrundlagen!$M$9:$M$100)</f>
        <v>0</v>
      </c>
      <c r="S116" s="136">
        <f>_xlfn.XLOOKUP(L116,[1]Auslegungsgrundlagen!$A$9:$A$100,[1]Auslegungsgrundlagen!$Q$9:$Q$100)*P116</f>
        <v>0</v>
      </c>
      <c r="T116" s="137">
        <v>0</v>
      </c>
      <c r="U116" s="137">
        <v>0</v>
      </c>
      <c r="V116" s="138">
        <v>0</v>
      </c>
      <c r="W116" s="139">
        <f t="shared" si="66"/>
        <v>0</v>
      </c>
      <c r="X116" s="140" t="s">
        <v>120</v>
      </c>
      <c r="Y116" s="137" t="s">
        <v>120</v>
      </c>
      <c r="Z116" s="141">
        <v>0</v>
      </c>
      <c r="AA116" s="142">
        <f t="shared" si="67"/>
        <v>0</v>
      </c>
      <c r="AB116" s="140" t="s">
        <v>120</v>
      </c>
      <c r="AC116" s="143" t="s">
        <v>120</v>
      </c>
      <c r="AD116" s="144">
        <v>0</v>
      </c>
      <c r="AE116" s="145">
        <f t="shared" si="68"/>
        <v>0</v>
      </c>
      <c r="AF116" s="146"/>
      <c r="AG116" s="140" t="s">
        <v>120</v>
      </c>
      <c r="AH116" s="143" t="s">
        <v>120</v>
      </c>
      <c r="AI116" s="144">
        <v>0</v>
      </c>
      <c r="AJ116" s="145">
        <f t="shared" si="69"/>
        <v>0</v>
      </c>
      <c r="AK116" s="146"/>
      <c r="AL116" s="147">
        <f t="shared" si="70"/>
        <v>0</v>
      </c>
      <c r="AM116" s="140" t="s">
        <v>120</v>
      </c>
      <c r="AN116" s="143" t="s">
        <v>120</v>
      </c>
      <c r="AO116" s="144">
        <v>0</v>
      </c>
      <c r="AP116" s="148">
        <v>0</v>
      </c>
      <c r="AQ116" s="142">
        <f t="shared" si="71"/>
        <v>0</v>
      </c>
      <c r="AR116" s="140" t="s">
        <v>120</v>
      </c>
      <c r="AS116" s="143" t="s">
        <v>120</v>
      </c>
      <c r="AT116" s="144">
        <v>0</v>
      </c>
      <c r="AU116" s="149">
        <v>0</v>
      </c>
      <c r="AV116" s="145">
        <f t="shared" si="72"/>
        <v>0</v>
      </c>
      <c r="AW116" s="146"/>
      <c r="AX116" s="140" t="s">
        <v>120</v>
      </c>
      <c r="AY116" s="143" t="s">
        <v>120</v>
      </c>
      <c r="AZ116" s="144">
        <v>0</v>
      </c>
      <c r="BA116" s="149">
        <v>0</v>
      </c>
      <c r="BB116" s="145">
        <f t="shared" si="73"/>
        <v>0</v>
      </c>
      <c r="BC116" s="150"/>
      <c r="BD116" s="151">
        <f t="shared" si="74"/>
        <v>0</v>
      </c>
      <c r="BE116" s="152">
        <f t="shared" si="75"/>
        <v>0</v>
      </c>
      <c r="BF116" s="140" t="s">
        <v>120</v>
      </c>
      <c r="BG116" s="153" t="s">
        <v>120</v>
      </c>
      <c r="BH116" s="154" t="s">
        <v>120</v>
      </c>
      <c r="BI116" s="155" t="s">
        <v>120</v>
      </c>
      <c r="BJ116" s="156" t="s">
        <v>120</v>
      </c>
      <c r="BK116" s="157"/>
      <c r="BL116" s="158">
        <f>_xlfn.XLOOKUP(L116,[1]Auslegungsgrundlagen!$A$9:$A$100,[1]Auslegungsgrundlagen!$U$9:$U$100)</f>
        <v>15</v>
      </c>
      <c r="BM116" s="137">
        <v>0</v>
      </c>
      <c r="BN116" s="159">
        <v>0</v>
      </c>
      <c r="BO116" s="152">
        <f t="shared" si="76"/>
        <v>0.15</v>
      </c>
      <c r="BP116" s="140"/>
      <c r="BQ116" s="143"/>
      <c r="BR116" s="160"/>
      <c r="BS116" s="142">
        <f t="shared" si="77"/>
        <v>0</v>
      </c>
      <c r="BT116" s="140" t="s">
        <v>120</v>
      </c>
      <c r="BU116" s="143" t="s">
        <v>120</v>
      </c>
      <c r="BV116" s="160">
        <v>0</v>
      </c>
      <c r="BW116" s="145">
        <f t="shared" si="78"/>
        <v>0</v>
      </c>
      <c r="BX116" s="146"/>
      <c r="BY116" s="140" t="s">
        <v>120</v>
      </c>
      <c r="BZ116" s="143" t="s">
        <v>120</v>
      </c>
      <c r="CA116" s="160">
        <v>0</v>
      </c>
      <c r="CB116" s="145">
        <f t="shared" si="79"/>
        <v>0</v>
      </c>
      <c r="CC116" s="146"/>
      <c r="CD116" s="151">
        <f t="shared" si="80"/>
        <v>0</v>
      </c>
      <c r="CE116" s="161" t="s">
        <v>120</v>
      </c>
      <c r="CF116" s="162" t="s">
        <v>120</v>
      </c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ht="12.3">
      <c r="A117" s="128" t="s">
        <v>353</v>
      </c>
      <c r="B117" s="129">
        <v>3250</v>
      </c>
      <c r="C117" s="129">
        <v>11815</v>
      </c>
      <c r="D117" s="129"/>
      <c r="E117" s="129"/>
      <c r="F117" s="130"/>
      <c r="G117" s="131" t="s">
        <v>350</v>
      </c>
      <c r="H117" s="131" t="s">
        <v>120</v>
      </c>
      <c r="I117" s="131" t="s">
        <v>120</v>
      </c>
      <c r="J117" s="131" t="s">
        <v>354</v>
      </c>
      <c r="K117" s="131" t="s">
        <v>122</v>
      </c>
      <c r="L117" s="177">
        <v>19</v>
      </c>
      <c r="M117" s="131" t="str">
        <f>_xlfn.XLOOKUP(L117,[1]Auslegungsgrundlagen!$A$9:$A$100,[1]Auslegungsgrundlagen!$B$9:$B$100)</f>
        <v>Aufzüge</v>
      </c>
      <c r="N117" s="132">
        <v>9</v>
      </c>
      <c r="O117" s="132">
        <v>26.17</v>
      </c>
      <c r="P117" s="133">
        <v>0</v>
      </c>
      <c r="Q117" s="134"/>
      <c r="R117" s="135">
        <f>_xlfn.XLOOKUP(L117,[1]Auslegungsgrundlagen!$A$9:$A$100,[1]Auslegungsgrundlagen!$M$9:$M$100)</f>
        <v>0</v>
      </c>
      <c r="S117" s="136">
        <f>_xlfn.XLOOKUP(L117,[1]Auslegungsgrundlagen!$A$9:$A$100,[1]Auslegungsgrundlagen!$Q$9:$Q$100)*P117</f>
        <v>0</v>
      </c>
      <c r="T117" s="137">
        <v>0</v>
      </c>
      <c r="U117" s="137">
        <v>0</v>
      </c>
      <c r="V117" s="138">
        <v>0</v>
      </c>
      <c r="W117" s="139">
        <f t="shared" si="66"/>
        <v>0</v>
      </c>
      <c r="X117" s="140" t="s">
        <v>120</v>
      </c>
      <c r="Y117" s="137" t="s">
        <v>120</v>
      </c>
      <c r="Z117" s="141">
        <v>0</v>
      </c>
      <c r="AA117" s="142">
        <f t="shared" si="67"/>
        <v>0</v>
      </c>
      <c r="AB117" s="140" t="s">
        <v>120</v>
      </c>
      <c r="AC117" s="143" t="s">
        <v>120</v>
      </c>
      <c r="AD117" s="144">
        <v>0</v>
      </c>
      <c r="AE117" s="145">
        <f t="shared" si="68"/>
        <v>0</v>
      </c>
      <c r="AF117" s="146"/>
      <c r="AG117" s="140" t="s">
        <v>120</v>
      </c>
      <c r="AH117" s="143" t="s">
        <v>120</v>
      </c>
      <c r="AI117" s="144">
        <v>0</v>
      </c>
      <c r="AJ117" s="145">
        <f t="shared" si="69"/>
        <v>0</v>
      </c>
      <c r="AK117" s="146"/>
      <c r="AL117" s="147">
        <f t="shared" si="70"/>
        <v>0</v>
      </c>
      <c r="AM117" s="140" t="s">
        <v>120</v>
      </c>
      <c r="AN117" s="143" t="s">
        <v>120</v>
      </c>
      <c r="AO117" s="144">
        <v>0</v>
      </c>
      <c r="AP117" s="148">
        <v>0</v>
      </c>
      <c r="AQ117" s="142">
        <f t="shared" si="71"/>
        <v>0</v>
      </c>
      <c r="AR117" s="140" t="s">
        <v>120</v>
      </c>
      <c r="AS117" s="143" t="s">
        <v>120</v>
      </c>
      <c r="AT117" s="144">
        <v>0</v>
      </c>
      <c r="AU117" s="149">
        <v>0</v>
      </c>
      <c r="AV117" s="145">
        <f t="shared" si="72"/>
        <v>0</v>
      </c>
      <c r="AW117" s="146"/>
      <c r="AX117" s="140" t="s">
        <v>120</v>
      </c>
      <c r="AY117" s="143" t="s">
        <v>120</v>
      </c>
      <c r="AZ117" s="144">
        <v>0</v>
      </c>
      <c r="BA117" s="149">
        <v>0</v>
      </c>
      <c r="BB117" s="145">
        <f t="shared" si="73"/>
        <v>0</v>
      </c>
      <c r="BC117" s="150"/>
      <c r="BD117" s="151">
        <f t="shared" si="74"/>
        <v>0</v>
      </c>
      <c r="BE117" s="152">
        <f t="shared" si="75"/>
        <v>0</v>
      </c>
      <c r="BF117" s="140" t="s">
        <v>120</v>
      </c>
      <c r="BG117" s="153" t="s">
        <v>120</v>
      </c>
      <c r="BH117" s="154" t="s">
        <v>120</v>
      </c>
      <c r="BI117" s="155" t="s">
        <v>120</v>
      </c>
      <c r="BJ117" s="156" t="s">
        <v>120</v>
      </c>
      <c r="BK117" s="157"/>
      <c r="BL117" s="158">
        <f>_xlfn.XLOOKUP(L117,[1]Auslegungsgrundlagen!$A$9:$A$100,[1]Auslegungsgrundlagen!$U$9:$U$100)</f>
        <v>0</v>
      </c>
      <c r="BM117" s="137">
        <v>0</v>
      </c>
      <c r="BN117" s="159">
        <v>0</v>
      </c>
      <c r="BO117" s="152">
        <f t="shared" si="76"/>
        <v>0</v>
      </c>
      <c r="BP117" s="140" t="s">
        <v>120</v>
      </c>
      <c r="BQ117" s="143" t="s">
        <v>120</v>
      </c>
      <c r="BR117" s="160">
        <v>0</v>
      </c>
      <c r="BS117" s="142">
        <f t="shared" si="77"/>
        <v>0</v>
      </c>
      <c r="BT117" s="140" t="s">
        <v>120</v>
      </c>
      <c r="BU117" s="143" t="s">
        <v>120</v>
      </c>
      <c r="BV117" s="160">
        <v>0</v>
      </c>
      <c r="BW117" s="145">
        <f t="shared" si="78"/>
        <v>0</v>
      </c>
      <c r="BX117" s="146"/>
      <c r="BY117" s="140" t="s">
        <v>120</v>
      </c>
      <c r="BZ117" s="143" t="s">
        <v>120</v>
      </c>
      <c r="CA117" s="160">
        <v>0</v>
      </c>
      <c r="CB117" s="145">
        <f t="shared" si="79"/>
        <v>0</v>
      </c>
      <c r="CC117" s="146"/>
      <c r="CD117" s="151">
        <f t="shared" si="80"/>
        <v>0</v>
      </c>
      <c r="CE117" s="161" t="s">
        <v>120</v>
      </c>
      <c r="CF117" s="162" t="s">
        <v>120</v>
      </c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ht="12.3">
      <c r="A118" s="128" t="s">
        <v>357</v>
      </c>
      <c r="B118" s="129">
        <v>3250</v>
      </c>
      <c r="C118" s="129">
        <v>7328</v>
      </c>
      <c r="D118" s="129"/>
      <c r="E118" s="129"/>
      <c r="F118" s="130"/>
      <c r="G118" s="131" t="s">
        <v>350</v>
      </c>
      <c r="H118" s="131" t="s">
        <v>120</v>
      </c>
      <c r="I118" s="131" t="s">
        <v>120</v>
      </c>
      <c r="J118" s="131" t="s">
        <v>358</v>
      </c>
      <c r="K118" s="131" t="s">
        <v>174</v>
      </c>
      <c r="L118" s="177">
        <v>8</v>
      </c>
      <c r="M118" s="131" t="str">
        <f>_xlfn.XLOOKUP(L118,[1]Auslegungsgrundlagen!$A$9:$A$100,[1]Auslegungsgrundlagen!$B$9:$B$100)</f>
        <v>WCs</v>
      </c>
      <c r="N118" s="132">
        <v>3</v>
      </c>
      <c r="O118" s="132">
        <v>10.050000000000001</v>
      </c>
      <c r="P118" s="133">
        <v>0</v>
      </c>
      <c r="Q118" s="134"/>
      <c r="R118" s="135">
        <f>_xlfn.XLOOKUP(L118,[1]Auslegungsgrundlagen!$A$9:$A$100,[1]Auslegungsgrundlagen!$M$9:$M$100)</f>
        <v>0</v>
      </c>
      <c r="S118" s="136">
        <f>_xlfn.XLOOKUP(L118,[1]Auslegungsgrundlagen!$A$9:$A$100,[1]Auslegungsgrundlagen!$Q$9:$Q$100)*P118</f>
        <v>0</v>
      </c>
      <c r="T118" s="137">
        <v>0</v>
      </c>
      <c r="U118" s="137">
        <v>0</v>
      </c>
      <c r="V118" s="138">
        <v>0</v>
      </c>
      <c r="W118" s="139">
        <f t="shared" si="66"/>
        <v>0</v>
      </c>
      <c r="X118" s="140" t="s">
        <v>120</v>
      </c>
      <c r="Y118" s="137" t="s">
        <v>120</v>
      </c>
      <c r="Z118" s="141">
        <v>0</v>
      </c>
      <c r="AA118" s="142">
        <f t="shared" si="67"/>
        <v>0</v>
      </c>
      <c r="AB118" s="140" t="s">
        <v>120</v>
      </c>
      <c r="AC118" s="143" t="s">
        <v>120</v>
      </c>
      <c r="AD118" s="144">
        <v>0</v>
      </c>
      <c r="AE118" s="145">
        <f t="shared" si="68"/>
        <v>0</v>
      </c>
      <c r="AF118" s="146"/>
      <c r="AG118" s="140" t="s">
        <v>120</v>
      </c>
      <c r="AH118" s="143" t="s">
        <v>120</v>
      </c>
      <c r="AI118" s="144">
        <v>0</v>
      </c>
      <c r="AJ118" s="145">
        <f t="shared" si="69"/>
        <v>0</v>
      </c>
      <c r="AK118" s="146"/>
      <c r="AL118" s="147">
        <f t="shared" si="70"/>
        <v>0</v>
      </c>
      <c r="AM118" s="140" t="s">
        <v>120</v>
      </c>
      <c r="AN118" s="143" t="s">
        <v>120</v>
      </c>
      <c r="AO118" s="144">
        <v>0</v>
      </c>
      <c r="AP118" s="148">
        <v>0</v>
      </c>
      <c r="AQ118" s="142">
        <f t="shared" si="71"/>
        <v>0</v>
      </c>
      <c r="AR118" s="140" t="s">
        <v>120</v>
      </c>
      <c r="AS118" s="143" t="s">
        <v>120</v>
      </c>
      <c r="AT118" s="144">
        <v>0</v>
      </c>
      <c r="AU118" s="149">
        <v>0</v>
      </c>
      <c r="AV118" s="145">
        <f t="shared" si="72"/>
        <v>0</v>
      </c>
      <c r="AW118" s="146"/>
      <c r="AX118" s="140" t="s">
        <v>120</v>
      </c>
      <c r="AY118" s="143" t="s">
        <v>120</v>
      </c>
      <c r="AZ118" s="144">
        <v>0</v>
      </c>
      <c r="BA118" s="149">
        <v>0</v>
      </c>
      <c r="BB118" s="145">
        <f t="shared" si="73"/>
        <v>0</v>
      </c>
      <c r="BC118" s="150"/>
      <c r="BD118" s="151">
        <f t="shared" si="74"/>
        <v>0</v>
      </c>
      <c r="BE118" s="152">
        <f t="shared" si="75"/>
        <v>0</v>
      </c>
      <c r="BF118" s="140" t="s">
        <v>120</v>
      </c>
      <c r="BG118" s="153" t="s">
        <v>120</v>
      </c>
      <c r="BH118" s="154" t="s">
        <v>120</v>
      </c>
      <c r="BI118" s="155" t="s">
        <v>120</v>
      </c>
      <c r="BJ118" s="156" t="s">
        <v>120</v>
      </c>
      <c r="BK118" s="157"/>
      <c r="BL118" s="158">
        <f>_xlfn.XLOOKUP(L118,[1]Auslegungsgrundlagen!$A$9:$A$100,[1]Auslegungsgrundlagen!$U$9:$U$100)</f>
        <v>30</v>
      </c>
      <c r="BM118" s="137">
        <v>0</v>
      </c>
      <c r="BN118" s="159">
        <v>0</v>
      </c>
      <c r="BO118" s="152">
        <f t="shared" si="76"/>
        <v>0.09</v>
      </c>
      <c r="BP118" s="140"/>
      <c r="BQ118" s="143"/>
      <c r="BR118" s="160">
        <v>0</v>
      </c>
      <c r="BS118" s="142">
        <f t="shared" si="77"/>
        <v>0</v>
      </c>
      <c r="BT118" s="140" t="s">
        <v>120</v>
      </c>
      <c r="BU118" s="143" t="s">
        <v>120</v>
      </c>
      <c r="BV118" s="160">
        <v>0</v>
      </c>
      <c r="BW118" s="145">
        <f t="shared" si="78"/>
        <v>0</v>
      </c>
      <c r="BX118" s="146"/>
      <c r="BY118" s="140" t="s">
        <v>120</v>
      </c>
      <c r="BZ118" s="143" t="s">
        <v>120</v>
      </c>
      <c r="CA118" s="160">
        <v>0</v>
      </c>
      <c r="CB118" s="145">
        <f t="shared" si="79"/>
        <v>0</v>
      </c>
      <c r="CC118" s="146"/>
      <c r="CD118" s="151">
        <f t="shared" si="80"/>
        <v>0</v>
      </c>
      <c r="CE118" s="161" t="s">
        <v>120</v>
      </c>
      <c r="CF118" s="162" t="s">
        <v>120</v>
      </c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  <row r="119" spans="1:256" ht="12.3">
      <c r="A119" s="128" t="s">
        <v>355</v>
      </c>
      <c r="B119" s="129">
        <v>3250</v>
      </c>
      <c r="C119" s="129">
        <v>5317</v>
      </c>
      <c r="D119" s="129"/>
      <c r="E119" s="129"/>
      <c r="F119" s="130"/>
      <c r="G119" s="131" t="s">
        <v>350</v>
      </c>
      <c r="H119" s="131" t="s">
        <v>120</v>
      </c>
      <c r="I119" s="131" t="s">
        <v>120</v>
      </c>
      <c r="J119" s="131" t="s">
        <v>356</v>
      </c>
      <c r="K119" s="131" t="s">
        <v>171</v>
      </c>
      <c r="L119" s="177">
        <v>10</v>
      </c>
      <c r="M119" s="131" t="str">
        <f>_xlfn.XLOOKUP(L119,[1]Auslegungsgrundlagen!$A$9:$A$100,[1]Auslegungsgrundlagen!$B$9:$B$100)</f>
        <v>Putzmittel/ Lager</v>
      </c>
      <c r="N119" s="132">
        <v>2</v>
      </c>
      <c r="O119" s="132">
        <v>4.75</v>
      </c>
      <c r="P119" s="133">
        <v>0</v>
      </c>
      <c r="Q119" s="134"/>
      <c r="R119" s="135">
        <f>_xlfn.XLOOKUP(L119,[1]Auslegungsgrundlagen!$A$9:$A$100,[1]Auslegungsgrundlagen!$M$9:$M$100)</f>
        <v>0</v>
      </c>
      <c r="S119" s="136">
        <f>_xlfn.XLOOKUP(L119,[1]Auslegungsgrundlagen!$A$9:$A$100,[1]Auslegungsgrundlagen!$Q$9:$Q$100)*P119</f>
        <v>0</v>
      </c>
      <c r="T119" s="137">
        <v>0</v>
      </c>
      <c r="U119" s="137">
        <v>0</v>
      </c>
      <c r="V119" s="138">
        <v>0</v>
      </c>
      <c r="W119" s="139">
        <f t="shared" si="66"/>
        <v>0</v>
      </c>
      <c r="X119" s="140" t="s">
        <v>120</v>
      </c>
      <c r="Y119" s="137" t="s">
        <v>120</v>
      </c>
      <c r="Z119" s="141">
        <v>0</v>
      </c>
      <c r="AA119" s="142">
        <f t="shared" si="67"/>
        <v>0</v>
      </c>
      <c r="AB119" s="140" t="s">
        <v>120</v>
      </c>
      <c r="AC119" s="143" t="s">
        <v>120</v>
      </c>
      <c r="AD119" s="144">
        <v>0</v>
      </c>
      <c r="AE119" s="145">
        <f t="shared" si="68"/>
        <v>0</v>
      </c>
      <c r="AF119" s="146"/>
      <c r="AG119" s="140" t="s">
        <v>120</v>
      </c>
      <c r="AH119" s="143" t="s">
        <v>120</v>
      </c>
      <c r="AI119" s="144">
        <v>0</v>
      </c>
      <c r="AJ119" s="145">
        <f t="shared" si="69"/>
        <v>0</v>
      </c>
      <c r="AK119" s="146"/>
      <c r="AL119" s="147">
        <f t="shared" si="70"/>
        <v>0</v>
      </c>
      <c r="AM119" s="140" t="s">
        <v>120</v>
      </c>
      <c r="AN119" s="143" t="s">
        <v>120</v>
      </c>
      <c r="AO119" s="144">
        <v>0</v>
      </c>
      <c r="AP119" s="148">
        <v>0</v>
      </c>
      <c r="AQ119" s="142">
        <f t="shared" si="71"/>
        <v>0</v>
      </c>
      <c r="AR119" s="140" t="s">
        <v>120</v>
      </c>
      <c r="AS119" s="143" t="s">
        <v>120</v>
      </c>
      <c r="AT119" s="144">
        <v>0</v>
      </c>
      <c r="AU119" s="149">
        <v>0</v>
      </c>
      <c r="AV119" s="145">
        <f t="shared" si="72"/>
        <v>0</v>
      </c>
      <c r="AW119" s="146"/>
      <c r="AX119" s="140" t="s">
        <v>120</v>
      </c>
      <c r="AY119" s="143" t="s">
        <v>120</v>
      </c>
      <c r="AZ119" s="144">
        <v>0</v>
      </c>
      <c r="BA119" s="149">
        <v>0</v>
      </c>
      <c r="BB119" s="145">
        <f t="shared" si="73"/>
        <v>0</v>
      </c>
      <c r="BC119" s="150"/>
      <c r="BD119" s="151">
        <f t="shared" si="74"/>
        <v>0</v>
      </c>
      <c r="BE119" s="152">
        <f t="shared" si="75"/>
        <v>0</v>
      </c>
      <c r="BF119" s="140" t="s">
        <v>120</v>
      </c>
      <c r="BG119" s="153" t="s">
        <v>120</v>
      </c>
      <c r="BH119" s="154" t="s">
        <v>120</v>
      </c>
      <c r="BI119" s="155" t="s">
        <v>120</v>
      </c>
      <c r="BJ119" s="156" t="s">
        <v>120</v>
      </c>
      <c r="BK119" s="157"/>
      <c r="BL119" s="158">
        <f>_xlfn.XLOOKUP(L119,[1]Auslegungsgrundlagen!$A$9:$A$100,[1]Auslegungsgrundlagen!$U$9:$U$100)</f>
        <v>15</v>
      </c>
      <c r="BM119" s="137">
        <v>0</v>
      </c>
      <c r="BN119" s="159">
        <v>0</v>
      </c>
      <c r="BO119" s="152">
        <f t="shared" si="76"/>
        <v>0.03</v>
      </c>
      <c r="BP119" s="140"/>
      <c r="BQ119" s="143"/>
      <c r="BR119" s="160"/>
      <c r="BS119" s="142">
        <f t="shared" si="77"/>
        <v>0</v>
      </c>
      <c r="BT119" s="140" t="s">
        <v>120</v>
      </c>
      <c r="BU119" s="143" t="s">
        <v>120</v>
      </c>
      <c r="BV119" s="160">
        <v>0</v>
      </c>
      <c r="BW119" s="145">
        <f t="shared" si="78"/>
        <v>0</v>
      </c>
      <c r="BX119" s="146"/>
      <c r="BY119" s="140" t="s">
        <v>120</v>
      </c>
      <c r="BZ119" s="143" t="s">
        <v>120</v>
      </c>
      <c r="CA119" s="160">
        <v>0</v>
      </c>
      <c r="CB119" s="145">
        <f t="shared" si="79"/>
        <v>0</v>
      </c>
      <c r="CC119" s="146"/>
      <c r="CD119" s="151">
        <f t="shared" si="80"/>
        <v>0</v>
      </c>
      <c r="CE119" s="161" t="s">
        <v>120</v>
      </c>
      <c r="CF119" s="162" t="s">
        <v>120</v>
      </c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</row>
    <row r="120" spans="1:256" ht="12.3">
      <c r="A120" s="128" t="s">
        <v>394</v>
      </c>
      <c r="B120" s="129">
        <v>3250</v>
      </c>
      <c r="C120" s="129">
        <v>5533</v>
      </c>
      <c r="D120" s="129"/>
      <c r="E120" s="129"/>
      <c r="F120" s="130"/>
      <c r="G120" s="131" t="s">
        <v>350</v>
      </c>
      <c r="H120" s="131" t="s">
        <v>120</v>
      </c>
      <c r="I120" s="131" t="s">
        <v>120</v>
      </c>
      <c r="J120" s="131" t="s">
        <v>395</v>
      </c>
      <c r="K120" s="131" t="s">
        <v>184</v>
      </c>
      <c r="L120" s="177">
        <v>8</v>
      </c>
      <c r="M120" s="131" t="str">
        <f>_xlfn.XLOOKUP(L120,[1]Auslegungsgrundlagen!$A$9:$A$100,[1]Auslegungsgrundlagen!$B$9:$B$100)</f>
        <v>WCs</v>
      </c>
      <c r="N120" s="132">
        <v>2</v>
      </c>
      <c r="O120" s="132">
        <v>5.3</v>
      </c>
      <c r="P120" s="133">
        <v>0</v>
      </c>
      <c r="Q120" s="134"/>
      <c r="R120" s="135">
        <f>_xlfn.XLOOKUP(L120,[1]Auslegungsgrundlagen!$A$9:$A$100,[1]Auslegungsgrundlagen!$M$9:$M$100)</f>
        <v>0</v>
      </c>
      <c r="S120" s="136">
        <f>_xlfn.XLOOKUP(L120,[1]Auslegungsgrundlagen!$A$9:$A$100,[1]Auslegungsgrundlagen!$Q$9:$Q$100)*P120</f>
        <v>0</v>
      </c>
      <c r="T120" s="137">
        <v>0</v>
      </c>
      <c r="U120" s="137">
        <v>0</v>
      </c>
      <c r="V120" s="138">
        <v>0</v>
      </c>
      <c r="W120" s="139">
        <f t="shared" si="66"/>
        <v>0</v>
      </c>
      <c r="X120" s="140" t="s">
        <v>120</v>
      </c>
      <c r="Y120" s="137" t="s">
        <v>120</v>
      </c>
      <c r="Z120" s="141">
        <v>0</v>
      </c>
      <c r="AA120" s="142">
        <f t="shared" si="67"/>
        <v>0</v>
      </c>
      <c r="AB120" s="140" t="s">
        <v>120</v>
      </c>
      <c r="AC120" s="143" t="s">
        <v>120</v>
      </c>
      <c r="AD120" s="144">
        <v>0</v>
      </c>
      <c r="AE120" s="145">
        <f t="shared" si="68"/>
        <v>0</v>
      </c>
      <c r="AF120" s="146"/>
      <c r="AG120" s="140" t="s">
        <v>120</v>
      </c>
      <c r="AH120" s="143" t="s">
        <v>120</v>
      </c>
      <c r="AI120" s="144">
        <v>0</v>
      </c>
      <c r="AJ120" s="145">
        <f t="shared" si="69"/>
        <v>0</v>
      </c>
      <c r="AK120" s="146"/>
      <c r="AL120" s="147">
        <f t="shared" si="70"/>
        <v>0</v>
      </c>
      <c r="AM120" s="140" t="s">
        <v>120</v>
      </c>
      <c r="AN120" s="143" t="s">
        <v>120</v>
      </c>
      <c r="AO120" s="144">
        <v>0</v>
      </c>
      <c r="AP120" s="148">
        <v>0</v>
      </c>
      <c r="AQ120" s="142">
        <f t="shared" si="71"/>
        <v>0</v>
      </c>
      <c r="AR120" s="140" t="s">
        <v>120</v>
      </c>
      <c r="AS120" s="143" t="s">
        <v>120</v>
      </c>
      <c r="AT120" s="144">
        <v>0</v>
      </c>
      <c r="AU120" s="149">
        <v>0</v>
      </c>
      <c r="AV120" s="145">
        <f t="shared" si="72"/>
        <v>0</v>
      </c>
      <c r="AW120" s="146"/>
      <c r="AX120" s="140" t="s">
        <v>120</v>
      </c>
      <c r="AY120" s="143" t="s">
        <v>120</v>
      </c>
      <c r="AZ120" s="144">
        <v>0</v>
      </c>
      <c r="BA120" s="149">
        <v>0</v>
      </c>
      <c r="BB120" s="145">
        <f t="shared" si="73"/>
        <v>0</v>
      </c>
      <c r="BC120" s="150"/>
      <c r="BD120" s="151">
        <f t="shared" si="74"/>
        <v>0</v>
      </c>
      <c r="BE120" s="152">
        <f t="shared" si="75"/>
        <v>0</v>
      </c>
      <c r="BF120" s="140" t="s">
        <v>120</v>
      </c>
      <c r="BG120" s="153" t="s">
        <v>120</v>
      </c>
      <c r="BH120" s="154" t="s">
        <v>120</v>
      </c>
      <c r="BI120" s="155" t="s">
        <v>120</v>
      </c>
      <c r="BJ120" s="156" t="s">
        <v>120</v>
      </c>
      <c r="BK120" s="157"/>
      <c r="BL120" s="158">
        <f>_xlfn.XLOOKUP(L120,[1]Auslegungsgrundlagen!$A$9:$A$100,[1]Auslegungsgrundlagen!$U$9:$U$100)</f>
        <v>30</v>
      </c>
      <c r="BM120" s="137">
        <v>0</v>
      </c>
      <c r="BN120" s="159">
        <v>0</v>
      </c>
      <c r="BO120" s="152">
        <f t="shared" si="76"/>
        <v>0.06</v>
      </c>
      <c r="BP120" s="140" t="s">
        <v>12</v>
      </c>
      <c r="BQ120" s="143"/>
      <c r="BR120" s="160"/>
      <c r="BS120" s="142">
        <f t="shared" si="77"/>
        <v>0</v>
      </c>
      <c r="BT120" s="140" t="s">
        <v>120</v>
      </c>
      <c r="BU120" s="143" t="s">
        <v>120</v>
      </c>
      <c r="BV120" s="160">
        <v>0</v>
      </c>
      <c r="BW120" s="145">
        <f t="shared" si="78"/>
        <v>0</v>
      </c>
      <c r="BX120" s="146"/>
      <c r="BY120" s="140" t="s">
        <v>120</v>
      </c>
      <c r="BZ120" s="143" t="s">
        <v>120</v>
      </c>
      <c r="CA120" s="160">
        <v>0</v>
      </c>
      <c r="CB120" s="145">
        <f t="shared" si="79"/>
        <v>0</v>
      </c>
      <c r="CC120" s="146"/>
      <c r="CD120" s="151">
        <f t="shared" si="80"/>
        <v>0</v>
      </c>
      <c r="CE120" s="161" t="s">
        <v>120</v>
      </c>
      <c r="CF120" s="162" t="s">
        <v>120</v>
      </c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</row>
    <row r="121" spans="1:256" ht="12.3">
      <c r="A121" s="128" t="s">
        <v>392</v>
      </c>
      <c r="B121" s="129">
        <v>3250</v>
      </c>
      <c r="C121" s="129">
        <v>7148</v>
      </c>
      <c r="D121" s="129"/>
      <c r="E121" s="129"/>
      <c r="F121" s="130"/>
      <c r="G121" s="131" t="s">
        <v>350</v>
      </c>
      <c r="H121" s="131" t="s">
        <v>120</v>
      </c>
      <c r="I121" s="131" t="s">
        <v>120</v>
      </c>
      <c r="J121" s="131" t="s">
        <v>393</v>
      </c>
      <c r="K121" s="131" t="s">
        <v>184</v>
      </c>
      <c r="L121" s="177">
        <v>8</v>
      </c>
      <c r="M121" s="131" t="str">
        <f>_xlfn.XLOOKUP(L121,[1]Auslegungsgrundlagen!$A$9:$A$100,[1]Auslegungsgrundlagen!$B$9:$B$100)</f>
        <v>WCs</v>
      </c>
      <c r="N121" s="132">
        <v>3</v>
      </c>
      <c r="O121" s="132">
        <v>9.58</v>
      </c>
      <c r="P121" s="133">
        <v>0</v>
      </c>
      <c r="Q121" s="134"/>
      <c r="R121" s="135">
        <f>_xlfn.XLOOKUP(L121,[1]Auslegungsgrundlagen!$A$9:$A$100,[1]Auslegungsgrundlagen!$M$9:$M$100)</f>
        <v>0</v>
      </c>
      <c r="S121" s="136">
        <f>_xlfn.XLOOKUP(L121,[1]Auslegungsgrundlagen!$A$9:$A$100,[1]Auslegungsgrundlagen!$Q$9:$Q$100)*P121</f>
        <v>0</v>
      </c>
      <c r="T121" s="137">
        <v>0</v>
      </c>
      <c r="U121" s="137">
        <v>0</v>
      </c>
      <c r="V121" s="138">
        <v>0</v>
      </c>
      <c r="W121" s="139">
        <f t="shared" si="66"/>
        <v>0</v>
      </c>
      <c r="X121" s="140" t="s">
        <v>120</v>
      </c>
      <c r="Y121" s="137" t="s">
        <v>120</v>
      </c>
      <c r="Z121" s="141">
        <v>0</v>
      </c>
      <c r="AA121" s="142">
        <f t="shared" si="67"/>
        <v>0</v>
      </c>
      <c r="AB121" s="140" t="s">
        <v>120</v>
      </c>
      <c r="AC121" s="143" t="s">
        <v>120</v>
      </c>
      <c r="AD121" s="144">
        <v>0</v>
      </c>
      <c r="AE121" s="145">
        <f t="shared" si="68"/>
        <v>0</v>
      </c>
      <c r="AF121" s="146"/>
      <c r="AG121" s="140" t="s">
        <v>120</v>
      </c>
      <c r="AH121" s="143" t="s">
        <v>120</v>
      </c>
      <c r="AI121" s="144">
        <v>0</v>
      </c>
      <c r="AJ121" s="145">
        <f t="shared" si="69"/>
        <v>0</v>
      </c>
      <c r="AK121" s="146"/>
      <c r="AL121" s="147">
        <f t="shared" si="70"/>
        <v>0</v>
      </c>
      <c r="AM121" s="140" t="s">
        <v>120</v>
      </c>
      <c r="AN121" s="143" t="s">
        <v>120</v>
      </c>
      <c r="AO121" s="144">
        <v>0</v>
      </c>
      <c r="AP121" s="148">
        <v>0</v>
      </c>
      <c r="AQ121" s="142">
        <f t="shared" si="71"/>
        <v>0</v>
      </c>
      <c r="AR121" s="140" t="s">
        <v>120</v>
      </c>
      <c r="AS121" s="143" t="s">
        <v>120</v>
      </c>
      <c r="AT121" s="144">
        <v>0</v>
      </c>
      <c r="AU121" s="149">
        <v>0</v>
      </c>
      <c r="AV121" s="145">
        <f t="shared" si="72"/>
        <v>0</v>
      </c>
      <c r="AW121" s="146"/>
      <c r="AX121" s="140" t="s">
        <v>120</v>
      </c>
      <c r="AY121" s="143" t="s">
        <v>120</v>
      </c>
      <c r="AZ121" s="144">
        <v>0</v>
      </c>
      <c r="BA121" s="149">
        <v>0</v>
      </c>
      <c r="BB121" s="145">
        <f t="shared" si="73"/>
        <v>0</v>
      </c>
      <c r="BC121" s="150"/>
      <c r="BD121" s="151">
        <f t="shared" si="74"/>
        <v>0</v>
      </c>
      <c r="BE121" s="152">
        <f t="shared" si="75"/>
        <v>0</v>
      </c>
      <c r="BF121" s="140" t="s">
        <v>120</v>
      </c>
      <c r="BG121" s="153" t="s">
        <v>120</v>
      </c>
      <c r="BH121" s="154" t="s">
        <v>120</v>
      </c>
      <c r="BI121" s="155" t="s">
        <v>120</v>
      </c>
      <c r="BJ121" s="156" t="s">
        <v>120</v>
      </c>
      <c r="BK121" s="157"/>
      <c r="BL121" s="158">
        <f>_xlfn.XLOOKUP(L121,[1]Auslegungsgrundlagen!$A$9:$A$100,[1]Auslegungsgrundlagen!$U$9:$U$100)</f>
        <v>30</v>
      </c>
      <c r="BM121" s="137">
        <v>0</v>
      </c>
      <c r="BN121" s="159">
        <v>0</v>
      </c>
      <c r="BO121" s="152">
        <f t="shared" si="76"/>
        <v>0.09</v>
      </c>
      <c r="BP121" s="140" t="s">
        <v>12</v>
      </c>
      <c r="BQ121" s="143">
        <v>150</v>
      </c>
      <c r="BR121" s="160">
        <v>1</v>
      </c>
      <c r="BS121" s="142">
        <f t="shared" si="77"/>
        <v>0.15</v>
      </c>
      <c r="BT121" s="140" t="s">
        <v>120</v>
      </c>
      <c r="BU121" s="143" t="s">
        <v>120</v>
      </c>
      <c r="BV121" s="160">
        <v>0</v>
      </c>
      <c r="BW121" s="145">
        <f t="shared" si="78"/>
        <v>0</v>
      </c>
      <c r="BX121" s="146"/>
      <c r="BY121" s="140" t="s">
        <v>120</v>
      </c>
      <c r="BZ121" s="143" t="s">
        <v>120</v>
      </c>
      <c r="CA121" s="160">
        <v>0</v>
      </c>
      <c r="CB121" s="145">
        <f t="shared" si="79"/>
        <v>0</v>
      </c>
      <c r="CC121" s="146"/>
      <c r="CD121" s="151">
        <f t="shared" si="80"/>
        <v>0.15</v>
      </c>
      <c r="CE121" s="161" t="s">
        <v>120</v>
      </c>
      <c r="CF121" s="162" t="s">
        <v>120</v>
      </c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</row>
    <row r="122" spans="1:256" ht="12.3">
      <c r="A122" s="128" t="s">
        <v>398</v>
      </c>
      <c r="B122" s="129">
        <v>3250</v>
      </c>
      <c r="C122" s="129">
        <v>34382</v>
      </c>
      <c r="D122" s="129"/>
      <c r="E122" s="129"/>
      <c r="F122" s="130"/>
      <c r="G122" s="131" t="s">
        <v>350</v>
      </c>
      <c r="H122" s="131" t="s">
        <v>120</v>
      </c>
      <c r="I122" s="131" t="s">
        <v>120</v>
      </c>
      <c r="J122" s="131" t="s">
        <v>399</v>
      </c>
      <c r="K122" s="131" t="s">
        <v>200</v>
      </c>
      <c r="L122" s="177">
        <v>17</v>
      </c>
      <c r="M122" s="131" t="str">
        <f>_xlfn.XLOOKUP(L122,[1]Auslegungsgrundlagen!$A$9:$A$100,[1]Auslegungsgrundlagen!$B$9:$B$100)</f>
        <v>Treppenhäuser/Magistrale</v>
      </c>
      <c r="N122" s="132">
        <v>41</v>
      </c>
      <c r="O122" s="132">
        <v>122.92</v>
      </c>
      <c r="P122" s="133">
        <v>0</v>
      </c>
      <c r="Q122" s="134"/>
      <c r="R122" s="135">
        <f>_xlfn.XLOOKUP(L122,[1]Auslegungsgrundlagen!$A$9:$A$100,[1]Auslegungsgrundlagen!$M$9:$M$100)</f>
        <v>0</v>
      </c>
      <c r="S122" s="136">
        <f>_xlfn.XLOOKUP(L122,[1]Auslegungsgrundlagen!$A$9:$A$100,[1]Auslegungsgrundlagen!$Q$9:$Q$100)*P122</f>
        <v>0</v>
      </c>
      <c r="T122" s="137">
        <v>0</v>
      </c>
      <c r="U122" s="137">
        <v>0</v>
      </c>
      <c r="V122" s="138">
        <v>0</v>
      </c>
      <c r="W122" s="139">
        <f t="shared" si="66"/>
        <v>0</v>
      </c>
      <c r="X122" s="140" t="s">
        <v>120</v>
      </c>
      <c r="Y122" s="137" t="s">
        <v>120</v>
      </c>
      <c r="Z122" s="141">
        <v>0</v>
      </c>
      <c r="AA122" s="142">
        <f t="shared" si="67"/>
        <v>0</v>
      </c>
      <c r="AB122" s="140" t="s">
        <v>120</v>
      </c>
      <c r="AC122" s="143" t="s">
        <v>120</v>
      </c>
      <c r="AD122" s="144">
        <v>0</v>
      </c>
      <c r="AE122" s="145">
        <f t="shared" si="68"/>
        <v>0</v>
      </c>
      <c r="AF122" s="146"/>
      <c r="AG122" s="140" t="s">
        <v>120</v>
      </c>
      <c r="AH122" s="143" t="s">
        <v>120</v>
      </c>
      <c r="AI122" s="144">
        <v>0</v>
      </c>
      <c r="AJ122" s="145">
        <f t="shared" si="69"/>
        <v>0</v>
      </c>
      <c r="AK122" s="146"/>
      <c r="AL122" s="147">
        <f t="shared" si="70"/>
        <v>0</v>
      </c>
      <c r="AM122" s="140" t="s">
        <v>120</v>
      </c>
      <c r="AN122" s="143" t="s">
        <v>120</v>
      </c>
      <c r="AO122" s="144">
        <v>0</v>
      </c>
      <c r="AP122" s="148">
        <v>0</v>
      </c>
      <c r="AQ122" s="142">
        <f t="shared" si="71"/>
        <v>0</v>
      </c>
      <c r="AR122" s="140" t="s">
        <v>120</v>
      </c>
      <c r="AS122" s="143" t="s">
        <v>120</v>
      </c>
      <c r="AT122" s="144">
        <v>0</v>
      </c>
      <c r="AU122" s="149">
        <v>0</v>
      </c>
      <c r="AV122" s="145">
        <f t="shared" si="72"/>
        <v>0</v>
      </c>
      <c r="AW122" s="146"/>
      <c r="AX122" s="140" t="s">
        <v>120</v>
      </c>
      <c r="AY122" s="143" t="s">
        <v>120</v>
      </c>
      <c r="AZ122" s="144">
        <v>0</v>
      </c>
      <c r="BA122" s="149">
        <v>0</v>
      </c>
      <c r="BB122" s="145">
        <f t="shared" si="73"/>
        <v>0</v>
      </c>
      <c r="BC122" s="150"/>
      <c r="BD122" s="151">
        <f t="shared" si="74"/>
        <v>0</v>
      </c>
      <c r="BE122" s="152">
        <f t="shared" si="75"/>
        <v>0</v>
      </c>
      <c r="BF122" s="140" t="s">
        <v>120</v>
      </c>
      <c r="BG122" s="153" t="s">
        <v>120</v>
      </c>
      <c r="BH122" s="154" t="s">
        <v>120</v>
      </c>
      <c r="BI122" s="155" t="s">
        <v>120</v>
      </c>
      <c r="BJ122" s="156" t="s">
        <v>120</v>
      </c>
      <c r="BK122" s="157"/>
      <c r="BL122" s="158">
        <f>_xlfn.XLOOKUP(L122,[1]Auslegungsgrundlagen!$A$9:$A$100,[1]Auslegungsgrundlagen!$U$9:$U$100)</f>
        <v>25</v>
      </c>
      <c r="BM122" s="137">
        <v>0</v>
      </c>
      <c r="BN122" s="159">
        <v>0</v>
      </c>
      <c r="BO122" s="152">
        <f t="shared" si="76"/>
        <v>1.03</v>
      </c>
      <c r="BP122" s="140" t="s">
        <v>12</v>
      </c>
      <c r="BQ122" s="143">
        <f t="shared" ref="BQ122" si="82">BO122*1000</f>
        <v>1030</v>
      </c>
      <c r="BR122" s="160">
        <v>1</v>
      </c>
      <c r="BS122" s="142">
        <f t="shared" si="77"/>
        <v>1.03</v>
      </c>
      <c r="BT122" s="140" t="s">
        <v>120</v>
      </c>
      <c r="BU122" s="143" t="s">
        <v>120</v>
      </c>
      <c r="BV122" s="160">
        <v>0</v>
      </c>
      <c r="BW122" s="145">
        <f t="shared" si="78"/>
        <v>0</v>
      </c>
      <c r="BX122" s="146"/>
      <c r="BY122" s="140" t="s">
        <v>120</v>
      </c>
      <c r="BZ122" s="143" t="s">
        <v>120</v>
      </c>
      <c r="CA122" s="160">
        <v>0</v>
      </c>
      <c r="CB122" s="145">
        <f t="shared" si="79"/>
        <v>0</v>
      </c>
      <c r="CC122" s="146"/>
      <c r="CD122" s="151">
        <f t="shared" si="80"/>
        <v>1.03</v>
      </c>
      <c r="CE122" s="161" t="s">
        <v>120</v>
      </c>
      <c r="CF122" s="162" t="s">
        <v>120</v>
      </c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</row>
    <row r="123" spans="1:256" ht="12.3">
      <c r="A123" s="128" t="s">
        <v>362</v>
      </c>
      <c r="B123" s="129">
        <v>3250</v>
      </c>
      <c r="C123" s="129">
        <v>7060</v>
      </c>
      <c r="D123" s="129"/>
      <c r="E123" s="129"/>
      <c r="F123" s="130"/>
      <c r="G123" s="131" t="s">
        <v>350</v>
      </c>
      <c r="H123" s="131" t="s">
        <v>120</v>
      </c>
      <c r="I123" s="131" t="s">
        <v>120</v>
      </c>
      <c r="J123" s="131" t="s">
        <v>363</v>
      </c>
      <c r="K123" s="131" t="s">
        <v>168</v>
      </c>
      <c r="L123" s="177">
        <v>18</v>
      </c>
      <c r="M123" s="131" t="str">
        <f>_xlfn.XLOOKUP(L123,[1]Auslegungsgrundlagen!$A$9:$A$100,[1]Auslegungsgrundlagen!$B$9:$B$100)</f>
        <v>Schächte</v>
      </c>
      <c r="N123" s="132">
        <v>3</v>
      </c>
      <c r="O123" s="132">
        <v>9.2799999999999994</v>
      </c>
      <c r="P123" s="133">
        <v>0</v>
      </c>
      <c r="Q123" s="134"/>
      <c r="R123" s="135">
        <f>_xlfn.XLOOKUP(L123,[1]Auslegungsgrundlagen!$A$9:$A$100,[1]Auslegungsgrundlagen!$M$9:$M$100)</f>
        <v>0</v>
      </c>
      <c r="S123" s="136">
        <f>_xlfn.XLOOKUP(L123,[1]Auslegungsgrundlagen!$A$9:$A$100,[1]Auslegungsgrundlagen!$Q$9:$Q$100)*P123</f>
        <v>0</v>
      </c>
      <c r="T123" s="137">
        <v>0</v>
      </c>
      <c r="U123" s="137">
        <v>0</v>
      </c>
      <c r="V123" s="138">
        <v>0</v>
      </c>
      <c r="W123" s="139">
        <f t="shared" si="66"/>
        <v>0</v>
      </c>
      <c r="X123" s="140" t="s">
        <v>120</v>
      </c>
      <c r="Y123" s="137" t="s">
        <v>120</v>
      </c>
      <c r="Z123" s="141">
        <v>0</v>
      </c>
      <c r="AA123" s="142">
        <f t="shared" si="67"/>
        <v>0</v>
      </c>
      <c r="AB123" s="140" t="s">
        <v>120</v>
      </c>
      <c r="AC123" s="143" t="s">
        <v>120</v>
      </c>
      <c r="AD123" s="144">
        <v>0</v>
      </c>
      <c r="AE123" s="145">
        <f t="shared" si="68"/>
        <v>0</v>
      </c>
      <c r="AF123" s="146"/>
      <c r="AG123" s="140" t="s">
        <v>120</v>
      </c>
      <c r="AH123" s="143" t="s">
        <v>120</v>
      </c>
      <c r="AI123" s="144">
        <v>0</v>
      </c>
      <c r="AJ123" s="145">
        <f t="shared" si="69"/>
        <v>0</v>
      </c>
      <c r="AK123" s="146"/>
      <c r="AL123" s="147">
        <f t="shared" si="70"/>
        <v>0</v>
      </c>
      <c r="AM123" s="140" t="s">
        <v>120</v>
      </c>
      <c r="AN123" s="143" t="s">
        <v>120</v>
      </c>
      <c r="AO123" s="144">
        <v>0</v>
      </c>
      <c r="AP123" s="148">
        <v>0</v>
      </c>
      <c r="AQ123" s="142">
        <f t="shared" si="71"/>
        <v>0</v>
      </c>
      <c r="AR123" s="140" t="s">
        <v>120</v>
      </c>
      <c r="AS123" s="143" t="s">
        <v>120</v>
      </c>
      <c r="AT123" s="144">
        <v>0</v>
      </c>
      <c r="AU123" s="149">
        <v>0</v>
      </c>
      <c r="AV123" s="145">
        <f t="shared" si="72"/>
        <v>0</v>
      </c>
      <c r="AW123" s="146"/>
      <c r="AX123" s="140" t="s">
        <v>120</v>
      </c>
      <c r="AY123" s="143" t="s">
        <v>120</v>
      </c>
      <c r="AZ123" s="144">
        <v>0</v>
      </c>
      <c r="BA123" s="149">
        <v>0</v>
      </c>
      <c r="BB123" s="145">
        <f t="shared" si="73"/>
        <v>0</v>
      </c>
      <c r="BC123" s="150"/>
      <c r="BD123" s="151">
        <f t="shared" si="74"/>
        <v>0</v>
      </c>
      <c r="BE123" s="152">
        <f t="shared" si="75"/>
        <v>0</v>
      </c>
      <c r="BF123" s="140" t="s">
        <v>120</v>
      </c>
      <c r="BG123" s="153" t="s">
        <v>120</v>
      </c>
      <c r="BH123" s="154" t="s">
        <v>120</v>
      </c>
      <c r="BI123" s="155" t="s">
        <v>120</v>
      </c>
      <c r="BJ123" s="156" t="s">
        <v>120</v>
      </c>
      <c r="BK123" s="157"/>
      <c r="BL123" s="158">
        <f>_xlfn.XLOOKUP(L123,[1]Auslegungsgrundlagen!$A$9:$A$100,[1]Auslegungsgrundlagen!$U$9:$U$100)</f>
        <v>0</v>
      </c>
      <c r="BM123" s="137">
        <v>0</v>
      </c>
      <c r="BN123" s="159">
        <v>0</v>
      </c>
      <c r="BO123" s="152">
        <f t="shared" si="76"/>
        <v>0</v>
      </c>
      <c r="BP123" s="140" t="s">
        <v>120</v>
      </c>
      <c r="BQ123" s="143" t="s">
        <v>120</v>
      </c>
      <c r="BR123" s="160">
        <v>0</v>
      </c>
      <c r="BS123" s="142">
        <f t="shared" si="77"/>
        <v>0</v>
      </c>
      <c r="BT123" s="140" t="s">
        <v>120</v>
      </c>
      <c r="BU123" s="143" t="s">
        <v>120</v>
      </c>
      <c r="BV123" s="160">
        <v>0</v>
      </c>
      <c r="BW123" s="145">
        <f t="shared" si="78"/>
        <v>0</v>
      </c>
      <c r="BX123" s="146"/>
      <c r="BY123" s="140" t="s">
        <v>120</v>
      </c>
      <c r="BZ123" s="143" t="s">
        <v>120</v>
      </c>
      <c r="CA123" s="160">
        <v>0</v>
      </c>
      <c r="CB123" s="145">
        <f t="shared" si="79"/>
        <v>0</v>
      </c>
      <c r="CC123" s="146"/>
      <c r="CD123" s="151">
        <f t="shared" si="80"/>
        <v>0</v>
      </c>
      <c r="CE123" s="161" t="s">
        <v>120</v>
      </c>
      <c r="CF123" s="162" t="s">
        <v>120</v>
      </c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</row>
    <row r="124" spans="1:256" ht="12.3">
      <c r="A124" s="128" t="s">
        <v>396</v>
      </c>
      <c r="B124" s="129">
        <v>3250</v>
      </c>
      <c r="C124" s="129">
        <v>6840</v>
      </c>
      <c r="D124" s="129"/>
      <c r="E124" s="129"/>
      <c r="F124" s="130"/>
      <c r="G124" s="131" t="s">
        <v>350</v>
      </c>
      <c r="H124" s="131" t="s">
        <v>120</v>
      </c>
      <c r="I124" s="131" t="s">
        <v>120</v>
      </c>
      <c r="J124" s="131" t="s">
        <v>397</v>
      </c>
      <c r="K124" s="131" t="s">
        <v>177</v>
      </c>
      <c r="L124" s="177">
        <v>14</v>
      </c>
      <c r="M124" s="131" t="str">
        <f>_xlfn.XLOOKUP(L124,[1]Auslegungsgrundlagen!$A$9:$A$100,[1]Auslegungsgrundlagen!$B$9:$B$100)</f>
        <v>ELT-Schacht</v>
      </c>
      <c r="N124" s="132">
        <v>3</v>
      </c>
      <c r="O124" s="132">
        <v>8.75</v>
      </c>
      <c r="P124" s="133">
        <v>0</v>
      </c>
      <c r="Q124" s="134"/>
      <c r="R124" s="135">
        <f>_xlfn.XLOOKUP(L124,[1]Auslegungsgrundlagen!$A$9:$A$100,[1]Auslegungsgrundlagen!$M$9:$M$100)</f>
        <v>0</v>
      </c>
      <c r="S124" s="136">
        <f>_xlfn.XLOOKUP(L124,[1]Auslegungsgrundlagen!$A$9:$A$100,[1]Auslegungsgrundlagen!$Q$9:$Q$100)*P124</f>
        <v>0</v>
      </c>
      <c r="T124" s="137">
        <v>0</v>
      </c>
      <c r="U124" s="137">
        <v>0</v>
      </c>
      <c r="V124" s="138">
        <v>0</v>
      </c>
      <c r="W124" s="139">
        <f t="shared" si="66"/>
        <v>0</v>
      </c>
      <c r="X124" s="140" t="s">
        <v>120</v>
      </c>
      <c r="Y124" s="137" t="s">
        <v>120</v>
      </c>
      <c r="Z124" s="141">
        <v>0</v>
      </c>
      <c r="AA124" s="142">
        <f t="shared" si="67"/>
        <v>0</v>
      </c>
      <c r="AB124" s="140" t="s">
        <v>120</v>
      </c>
      <c r="AC124" s="143" t="s">
        <v>120</v>
      </c>
      <c r="AD124" s="144">
        <v>0</v>
      </c>
      <c r="AE124" s="145">
        <f t="shared" si="68"/>
        <v>0</v>
      </c>
      <c r="AF124" s="146"/>
      <c r="AG124" s="140" t="s">
        <v>120</v>
      </c>
      <c r="AH124" s="143" t="s">
        <v>120</v>
      </c>
      <c r="AI124" s="144">
        <v>0</v>
      </c>
      <c r="AJ124" s="145">
        <f t="shared" si="69"/>
        <v>0</v>
      </c>
      <c r="AK124" s="146"/>
      <c r="AL124" s="147">
        <f t="shared" si="70"/>
        <v>0</v>
      </c>
      <c r="AM124" s="140" t="s">
        <v>120</v>
      </c>
      <c r="AN124" s="143" t="s">
        <v>120</v>
      </c>
      <c r="AO124" s="144">
        <v>0</v>
      </c>
      <c r="AP124" s="148">
        <v>0</v>
      </c>
      <c r="AQ124" s="142">
        <f t="shared" si="71"/>
        <v>0</v>
      </c>
      <c r="AR124" s="140" t="s">
        <v>120</v>
      </c>
      <c r="AS124" s="143" t="s">
        <v>120</v>
      </c>
      <c r="AT124" s="144">
        <v>0</v>
      </c>
      <c r="AU124" s="149">
        <v>0</v>
      </c>
      <c r="AV124" s="145">
        <f t="shared" si="72"/>
        <v>0</v>
      </c>
      <c r="AW124" s="146"/>
      <c r="AX124" s="140" t="s">
        <v>120</v>
      </c>
      <c r="AY124" s="143" t="s">
        <v>120</v>
      </c>
      <c r="AZ124" s="144">
        <v>0</v>
      </c>
      <c r="BA124" s="149">
        <v>0</v>
      </c>
      <c r="BB124" s="145">
        <f t="shared" si="73"/>
        <v>0</v>
      </c>
      <c r="BC124" s="150"/>
      <c r="BD124" s="151">
        <f t="shared" si="74"/>
        <v>0</v>
      </c>
      <c r="BE124" s="152">
        <f t="shared" si="75"/>
        <v>0</v>
      </c>
      <c r="BF124" s="140" t="s">
        <v>120</v>
      </c>
      <c r="BG124" s="153" t="s">
        <v>120</v>
      </c>
      <c r="BH124" s="154" t="s">
        <v>120</v>
      </c>
      <c r="BI124" s="155" t="s">
        <v>120</v>
      </c>
      <c r="BJ124" s="156" t="s">
        <v>120</v>
      </c>
      <c r="BK124" s="157"/>
      <c r="BL124" s="158">
        <f>_xlfn.XLOOKUP(L124,[1]Auslegungsgrundlagen!$A$9:$A$100,[1]Auslegungsgrundlagen!$U$9:$U$100)</f>
        <v>0</v>
      </c>
      <c r="BM124" s="137">
        <v>0</v>
      </c>
      <c r="BN124" s="159">
        <v>0</v>
      </c>
      <c r="BO124" s="152">
        <f t="shared" si="76"/>
        <v>0</v>
      </c>
      <c r="BP124" s="140" t="s">
        <v>120</v>
      </c>
      <c r="BQ124" s="143" t="s">
        <v>120</v>
      </c>
      <c r="BR124" s="160">
        <v>0</v>
      </c>
      <c r="BS124" s="142">
        <f t="shared" si="77"/>
        <v>0</v>
      </c>
      <c r="BT124" s="140" t="s">
        <v>120</v>
      </c>
      <c r="BU124" s="143" t="s">
        <v>120</v>
      </c>
      <c r="BV124" s="160">
        <v>0</v>
      </c>
      <c r="BW124" s="145">
        <f t="shared" si="78"/>
        <v>0</v>
      </c>
      <c r="BX124" s="146"/>
      <c r="BY124" s="140" t="s">
        <v>120</v>
      </c>
      <c r="BZ124" s="143" t="s">
        <v>120</v>
      </c>
      <c r="CA124" s="160">
        <v>0</v>
      </c>
      <c r="CB124" s="145">
        <f t="shared" si="79"/>
        <v>0</v>
      </c>
      <c r="CC124" s="146"/>
      <c r="CD124" s="151">
        <f t="shared" si="80"/>
        <v>0</v>
      </c>
      <c r="CE124" s="161" t="s">
        <v>120</v>
      </c>
      <c r="CF124" s="162" t="s">
        <v>120</v>
      </c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</row>
    <row r="125" spans="1:256" ht="12.3">
      <c r="A125" s="128" t="s">
        <v>472</v>
      </c>
      <c r="B125" s="129">
        <v>3250</v>
      </c>
      <c r="C125" s="129">
        <v>18165</v>
      </c>
      <c r="D125" s="129"/>
      <c r="E125" s="129"/>
      <c r="F125" s="130"/>
      <c r="G125" s="131" t="s">
        <v>401</v>
      </c>
      <c r="H125" s="131" t="s">
        <v>120</v>
      </c>
      <c r="I125" s="131" t="s">
        <v>120</v>
      </c>
      <c r="J125" s="131" t="s">
        <v>473</v>
      </c>
      <c r="K125" s="131" t="s">
        <v>474</v>
      </c>
      <c r="L125" s="177">
        <v>1</v>
      </c>
      <c r="M125" s="131" t="str">
        <f>_xlfn.XLOOKUP(L125,[1]Auslegungsgrundlagen!$A$9:$A$100,[1]Auslegungsgrundlagen!$B$9:$B$100)</f>
        <v>Flex-/ Co-Work/</v>
      </c>
      <c r="N125" s="132">
        <v>15</v>
      </c>
      <c r="O125" s="132">
        <v>43.7</v>
      </c>
      <c r="P125" s="133">
        <v>0</v>
      </c>
      <c r="Q125" s="134"/>
      <c r="R125" s="135">
        <f>_xlfn.XLOOKUP(L125,[1]Auslegungsgrundlagen!$A$9:$A$100,[1]Auslegungsgrundlagen!$M$9:$M$100)</f>
        <v>50</v>
      </c>
      <c r="S125" s="136">
        <f>_xlfn.XLOOKUP(L125,[1]Auslegungsgrundlagen!$A$9:$A$100,[1]Auslegungsgrundlagen!$Q$9:$Q$100)*P125</f>
        <v>0</v>
      </c>
      <c r="T125" s="137">
        <v>0</v>
      </c>
      <c r="U125" s="137">
        <v>0</v>
      </c>
      <c r="V125" s="138">
        <v>0</v>
      </c>
      <c r="W125" s="139">
        <f t="shared" si="66"/>
        <v>0.75</v>
      </c>
      <c r="X125" s="140" t="s">
        <v>481</v>
      </c>
      <c r="Y125" s="137">
        <f t="shared" ref="Y125:Y135" si="83">W125*1000</f>
        <v>750</v>
      </c>
      <c r="Z125" s="141">
        <v>1</v>
      </c>
      <c r="AA125" s="142">
        <f t="shared" si="67"/>
        <v>0.75</v>
      </c>
      <c r="AB125" s="140" t="s">
        <v>120</v>
      </c>
      <c r="AC125" s="143" t="s">
        <v>120</v>
      </c>
      <c r="AD125" s="144">
        <v>0</v>
      </c>
      <c r="AE125" s="145">
        <f t="shared" si="68"/>
        <v>0</v>
      </c>
      <c r="AF125" s="146"/>
      <c r="AG125" s="140" t="s">
        <v>120</v>
      </c>
      <c r="AH125" s="143" t="s">
        <v>120</v>
      </c>
      <c r="AI125" s="144">
        <v>0</v>
      </c>
      <c r="AJ125" s="145">
        <f t="shared" si="69"/>
        <v>0</v>
      </c>
      <c r="AK125" s="146"/>
      <c r="AL125" s="147">
        <f t="shared" si="70"/>
        <v>0.75</v>
      </c>
      <c r="AM125" s="140" t="s">
        <v>120</v>
      </c>
      <c r="AN125" s="143" t="s">
        <v>120</v>
      </c>
      <c r="AO125" s="144">
        <v>0</v>
      </c>
      <c r="AP125" s="148">
        <v>0</v>
      </c>
      <c r="AQ125" s="142">
        <f t="shared" si="71"/>
        <v>0</v>
      </c>
      <c r="AR125" s="140" t="s">
        <v>120</v>
      </c>
      <c r="AS125" s="143" t="s">
        <v>120</v>
      </c>
      <c r="AT125" s="144">
        <v>0</v>
      </c>
      <c r="AU125" s="149">
        <v>0</v>
      </c>
      <c r="AV125" s="145">
        <f t="shared" si="72"/>
        <v>0</v>
      </c>
      <c r="AW125" s="146"/>
      <c r="AX125" s="140" t="s">
        <v>120</v>
      </c>
      <c r="AY125" s="143" t="s">
        <v>120</v>
      </c>
      <c r="AZ125" s="144">
        <v>0</v>
      </c>
      <c r="BA125" s="149">
        <v>0</v>
      </c>
      <c r="BB125" s="145">
        <f t="shared" si="73"/>
        <v>0</v>
      </c>
      <c r="BC125" s="150"/>
      <c r="BD125" s="151">
        <f t="shared" si="74"/>
        <v>0</v>
      </c>
      <c r="BE125" s="152">
        <f t="shared" si="75"/>
        <v>0.75</v>
      </c>
      <c r="BF125" s="140" t="s">
        <v>120</v>
      </c>
      <c r="BG125" s="153" t="s">
        <v>120</v>
      </c>
      <c r="BH125" s="154" t="s">
        <v>120</v>
      </c>
      <c r="BI125" s="155" t="s">
        <v>120</v>
      </c>
      <c r="BJ125" s="156" t="s">
        <v>120</v>
      </c>
      <c r="BK125" s="157"/>
      <c r="BL125" s="158">
        <f>_xlfn.XLOOKUP(L125,[1]Auslegungsgrundlagen!$A$9:$A$100,[1]Auslegungsgrundlagen!$U$9:$U$100)</f>
        <v>40</v>
      </c>
      <c r="BM125" s="137">
        <v>0</v>
      </c>
      <c r="BN125" s="159">
        <v>0</v>
      </c>
      <c r="BO125" s="152">
        <f t="shared" si="76"/>
        <v>0.6</v>
      </c>
      <c r="BP125" s="140" t="s">
        <v>481</v>
      </c>
      <c r="BQ125" s="143">
        <f t="shared" ref="BQ125:BQ135" si="84">BO125*1000</f>
        <v>600</v>
      </c>
      <c r="BR125" s="160">
        <v>1</v>
      </c>
      <c r="BS125" s="142">
        <f t="shared" si="77"/>
        <v>0.6</v>
      </c>
      <c r="BT125" s="140" t="s">
        <v>120</v>
      </c>
      <c r="BU125" s="143" t="s">
        <v>120</v>
      </c>
      <c r="BV125" s="160">
        <v>0</v>
      </c>
      <c r="BW125" s="145">
        <f t="shared" si="78"/>
        <v>0</v>
      </c>
      <c r="BX125" s="146"/>
      <c r="BY125" s="140" t="s">
        <v>120</v>
      </c>
      <c r="BZ125" s="143" t="s">
        <v>120</v>
      </c>
      <c r="CA125" s="160">
        <v>0</v>
      </c>
      <c r="CB125" s="145">
        <f t="shared" si="79"/>
        <v>0</v>
      </c>
      <c r="CC125" s="146"/>
      <c r="CD125" s="151">
        <f t="shared" si="80"/>
        <v>0.6</v>
      </c>
      <c r="CE125" s="161" t="s">
        <v>120</v>
      </c>
      <c r="CF125" s="162" t="s">
        <v>120</v>
      </c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</row>
    <row r="126" spans="1:256" ht="12.3">
      <c r="A126" s="128" t="s">
        <v>444</v>
      </c>
      <c r="B126" s="129">
        <v>3250</v>
      </c>
      <c r="C126" s="129">
        <v>31440</v>
      </c>
      <c r="D126" s="129"/>
      <c r="E126" s="129"/>
      <c r="F126" s="130"/>
      <c r="G126" s="131" t="s">
        <v>401</v>
      </c>
      <c r="H126" s="131" t="s">
        <v>120</v>
      </c>
      <c r="I126" s="131" t="s">
        <v>120</v>
      </c>
      <c r="J126" s="131" t="s">
        <v>445</v>
      </c>
      <c r="K126" s="131" t="s">
        <v>443</v>
      </c>
      <c r="L126" s="177">
        <v>20</v>
      </c>
      <c r="M126" s="131" t="str">
        <f>_xlfn.XLOOKUP(L126,[1]Auslegungsgrundlagen!$A$9:$A$100,[1]Auslegungsgrundlagen!$B$9:$B$100)</f>
        <v>Serminarraum</v>
      </c>
      <c r="N126" s="132">
        <v>61</v>
      </c>
      <c r="O126" s="132">
        <v>182.09</v>
      </c>
      <c r="P126" s="133">
        <v>0</v>
      </c>
      <c r="Q126" s="134"/>
      <c r="R126" s="135">
        <f>_xlfn.XLOOKUP(L126,[1]Auslegungsgrundlagen!$A$9:$A$100,[1]Auslegungsgrundlagen!$M$9:$M$100)</f>
        <v>50</v>
      </c>
      <c r="S126" s="136">
        <f>_xlfn.XLOOKUP(L126,[1]Auslegungsgrundlagen!$A$9:$A$100,[1]Auslegungsgrundlagen!$Q$9:$Q$100)*P126</f>
        <v>0</v>
      </c>
      <c r="T126" s="137">
        <v>0</v>
      </c>
      <c r="U126" s="137">
        <v>0</v>
      </c>
      <c r="V126" s="138">
        <v>0</v>
      </c>
      <c r="W126" s="139">
        <f t="shared" si="66"/>
        <v>3.05</v>
      </c>
      <c r="X126" s="140" t="s">
        <v>481</v>
      </c>
      <c r="Y126" s="137">
        <f t="shared" si="83"/>
        <v>3050</v>
      </c>
      <c r="Z126" s="141">
        <v>1</v>
      </c>
      <c r="AA126" s="142">
        <f t="shared" si="67"/>
        <v>3.05</v>
      </c>
      <c r="AB126" s="140" t="s">
        <v>120</v>
      </c>
      <c r="AC126" s="143" t="s">
        <v>120</v>
      </c>
      <c r="AD126" s="144">
        <v>0</v>
      </c>
      <c r="AE126" s="145">
        <f t="shared" si="68"/>
        <v>0</v>
      </c>
      <c r="AF126" s="146"/>
      <c r="AG126" s="140" t="s">
        <v>120</v>
      </c>
      <c r="AH126" s="143" t="s">
        <v>120</v>
      </c>
      <c r="AI126" s="144">
        <v>0</v>
      </c>
      <c r="AJ126" s="145">
        <f t="shared" si="69"/>
        <v>0</v>
      </c>
      <c r="AK126" s="146"/>
      <c r="AL126" s="147">
        <f t="shared" si="70"/>
        <v>3.05</v>
      </c>
      <c r="AM126" s="140" t="s">
        <v>120</v>
      </c>
      <c r="AN126" s="143" t="s">
        <v>120</v>
      </c>
      <c r="AO126" s="144">
        <v>0</v>
      </c>
      <c r="AP126" s="148">
        <v>0</v>
      </c>
      <c r="AQ126" s="142">
        <f t="shared" si="71"/>
        <v>0</v>
      </c>
      <c r="AR126" s="140" t="s">
        <v>120</v>
      </c>
      <c r="AS126" s="143" t="s">
        <v>120</v>
      </c>
      <c r="AT126" s="144">
        <v>0</v>
      </c>
      <c r="AU126" s="149">
        <v>0</v>
      </c>
      <c r="AV126" s="145">
        <f t="shared" si="72"/>
        <v>0</v>
      </c>
      <c r="AW126" s="146"/>
      <c r="AX126" s="140" t="s">
        <v>120</v>
      </c>
      <c r="AY126" s="143" t="s">
        <v>120</v>
      </c>
      <c r="AZ126" s="144">
        <v>0</v>
      </c>
      <c r="BA126" s="149">
        <v>0</v>
      </c>
      <c r="BB126" s="145">
        <f t="shared" si="73"/>
        <v>0</v>
      </c>
      <c r="BC126" s="150"/>
      <c r="BD126" s="151">
        <f t="shared" si="74"/>
        <v>0</v>
      </c>
      <c r="BE126" s="152">
        <f t="shared" si="75"/>
        <v>3.05</v>
      </c>
      <c r="BF126" s="140" t="s">
        <v>120</v>
      </c>
      <c r="BG126" s="153" t="s">
        <v>120</v>
      </c>
      <c r="BH126" s="154" t="s">
        <v>120</v>
      </c>
      <c r="BI126" s="155" t="s">
        <v>120</v>
      </c>
      <c r="BJ126" s="156" t="s">
        <v>120</v>
      </c>
      <c r="BK126" s="157"/>
      <c r="BL126" s="158">
        <f>_xlfn.XLOOKUP(L126,[1]Auslegungsgrundlagen!$A$9:$A$100,[1]Auslegungsgrundlagen!$U$9:$U$100)</f>
        <v>40</v>
      </c>
      <c r="BM126" s="137">
        <v>0</v>
      </c>
      <c r="BN126" s="159">
        <v>0</v>
      </c>
      <c r="BO126" s="152">
        <f t="shared" si="76"/>
        <v>2.44</v>
      </c>
      <c r="BP126" s="140" t="s">
        <v>481</v>
      </c>
      <c r="BQ126" s="143">
        <f t="shared" si="84"/>
        <v>2440</v>
      </c>
      <c r="BR126" s="160">
        <v>1</v>
      </c>
      <c r="BS126" s="142">
        <f t="shared" si="77"/>
        <v>2.44</v>
      </c>
      <c r="BT126" s="140" t="s">
        <v>120</v>
      </c>
      <c r="BU126" s="143" t="s">
        <v>120</v>
      </c>
      <c r="BV126" s="160">
        <v>0</v>
      </c>
      <c r="BW126" s="145">
        <f t="shared" si="78"/>
        <v>0</v>
      </c>
      <c r="BX126" s="146"/>
      <c r="BY126" s="140" t="s">
        <v>120</v>
      </c>
      <c r="BZ126" s="143" t="s">
        <v>120</v>
      </c>
      <c r="CA126" s="160">
        <v>0</v>
      </c>
      <c r="CB126" s="145">
        <f t="shared" si="79"/>
        <v>0</v>
      </c>
      <c r="CC126" s="146"/>
      <c r="CD126" s="151">
        <f t="shared" si="80"/>
        <v>2.44</v>
      </c>
      <c r="CE126" s="161" t="s">
        <v>120</v>
      </c>
      <c r="CF126" s="162" t="s">
        <v>120</v>
      </c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</row>
    <row r="127" spans="1:256" ht="12.3">
      <c r="A127" s="128" t="s">
        <v>446</v>
      </c>
      <c r="B127" s="129">
        <v>3250</v>
      </c>
      <c r="C127" s="129">
        <v>31440</v>
      </c>
      <c r="D127" s="129"/>
      <c r="E127" s="129"/>
      <c r="F127" s="130"/>
      <c r="G127" s="131" t="s">
        <v>401</v>
      </c>
      <c r="H127" s="131" t="s">
        <v>120</v>
      </c>
      <c r="I127" s="131" t="s">
        <v>120</v>
      </c>
      <c r="J127" s="131" t="s">
        <v>447</v>
      </c>
      <c r="K127" s="131" t="s">
        <v>443</v>
      </c>
      <c r="L127" s="177">
        <v>20</v>
      </c>
      <c r="M127" s="131" t="str">
        <f>_xlfn.XLOOKUP(L127,[1]Auslegungsgrundlagen!$A$9:$A$100,[1]Auslegungsgrundlagen!$B$9:$B$100)</f>
        <v>Serminarraum</v>
      </c>
      <c r="N127" s="132">
        <v>61</v>
      </c>
      <c r="O127" s="132">
        <v>182.09</v>
      </c>
      <c r="P127" s="133">
        <v>0</v>
      </c>
      <c r="Q127" s="134"/>
      <c r="R127" s="135">
        <f>_xlfn.XLOOKUP(L127,[1]Auslegungsgrundlagen!$A$9:$A$100,[1]Auslegungsgrundlagen!$M$9:$M$100)</f>
        <v>50</v>
      </c>
      <c r="S127" s="136">
        <f>_xlfn.XLOOKUP(L127,[1]Auslegungsgrundlagen!$A$9:$A$100,[1]Auslegungsgrundlagen!$Q$9:$Q$100)*P127</f>
        <v>0</v>
      </c>
      <c r="T127" s="137">
        <v>0</v>
      </c>
      <c r="U127" s="137">
        <v>0</v>
      </c>
      <c r="V127" s="138">
        <v>0</v>
      </c>
      <c r="W127" s="139">
        <f t="shared" si="66"/>
        <v>3.05</v>
      </c>
      <c r="X127" s="140" t="s">
        <v>481</v>
      </c>
      <c r="Y127" s="137">
        <f t="shared" si="83"/>
        <v>3050</v>
      </c>
      <c r="Z127" s="141">
        <v>1</v>
      </c>
      <c r="AA127" s="142">
        <f t="shared" si="67"/>
        <v>3.05</v>
      </c>
      <c r="AB127" s="140" t="s">
        <v>120</v>
      </c>
      <c r="AC127" s="143" t="s">
        <v>120</v>
      </c>
      <c r="AD127" s="144">
        <v>0</v>
      </c>
      <c r="AE127" s="145">
        <f t="shared" si="68"/>
        <v>0</v>
      </c>
      <c r="AF127" s="146"/>
      <c r="AG127" s="140" t="s">
        <v>120</v>
      </c>
      <c r="AH127" s="143" t="s">
        <v>120</v>
      </c>
      <c r="AI127" s="144">
        <v>0</v>
      </c>
      <c r="AJ127" s="145">
        <f t="shared" si="69"/>
        <v>0</v>
      </c>
      <c r="AK127" s="146"/>
      <c r="AL127" s="147">
        <f t="shared" si="70"/>
        <v>3.05</v>
      </c>
      <c r="AM127" s="140" t="s">
        <v>120</v>
      </c>
      <c r="AN127" s="143" t="s">
        <v>120</v>
      </c>
      <c r="AO127" s="144">
        <v>0</v>
      </c>
      <c r="AP127" s="148">
        <v>0</v>
      </c>
      <c r="AQ127" s="142">
        <f t="shared" si="71"/>
        <v>0</v>
      </c>
      <c r="AR127" s="140" t="s">
        <v>120</v>
      </c>
      <c r="AS127" s="143" t="s">
        <v>120</v>
      </c>
      <c r="AT127" s="144">
        <v>0</v>
      </c>
      <c r="AU127" s="149">
        <v>0</v>
      </c>
      <c r="AV127" s="145">
        <f t="shared" si="72"/>
        <v>0</v>
      </c>
      <c r="AW127" s="146"/>
      <c r="AX127" s="140" t="s">
        <v>120</v>
      </c>
      <c r="AY127" s="143" t="s">
        <v>120</v>
      </c>
      <c r="AZ127" s="144">
        <v>0</v>
      </c>
      <c r="BA127" s="149">
        <v>0</v>
      </c>
      <c r="BB127" s="145">
        <f t="shared" si="73"/>
        <v>0</v>
      </c>
      <c r="BC127" s="150"/>
      <c r="BD127" s="151">
        <f t="shared" si="74"/>
        <v>0</v>
      </c>
      <c r="BE127" s="152">
        <f t="shared" si="75"/>
        <v>3.05</v>
      </c>
      <c r="BF127" s="140" t="s">
        <v>120</v>
      </c>
      <c r="BG127" s="153" t="s">
        <v>120</v>
      </c>
      <c r="BH127" s="154" t="s">
        <v>120</v>
      </c>
      <c r="BI127" s="155" t="s">
        <v>120</v>
      </c>
      <c r="BJ127" s="156" t="s">
        <v>120</v>
      </c>
      <c r="BK127" s="157"/>
      <c r="BL127" s="158">
        <f>_xlfn.XLOOKUP(L127,[1]Auslegungsgrundlagen!$A$9:$A$100,[1]Auslegungsgrundlagen!$U$9:$U$100)</f>
        <v>40</v>
      </c>
      <c r="BM127" s="137">
        <v>0</v>
      </c>
      <c r="BN127" s="159">
        <v>0</v>
      </c>
      <c r="BO127" s="152">
        <f t="shared" si="76"/>
        <v>2.44</v>
      </c>
      <c r="BP127" s="140" t="s">
        <v>481</v>
      </c>
      <c r="BQ127" s="143">
        <f t="shared" si="84"/>
        <v>2440</v>
      </c>
      <c r="BR127" s="160">
        <v>1</v>
      </c>
      <c r="BS127" s="142">
        <f t="shared" si="77"/>
        <v>2.44</v>
      </c>
      <c r="BT127" s="140" t="s">
        <v>120</v>
      </c>
      <c r="BU127" s="143" t="s">
        <v>120</v>
      </c>
      <c r="BV127" s="160">
        <v>0</v>
      </c>
      <c r="BW127" s="145">
        <f t="shared" si="78"/>
        <v>0</v>
      </c>
      <c r="BX127" s="146"/>
      <c r="BY127" s="140" t="s">
        <v>120</v>
      </c>
      <c r="BZ127" s="143" t="s">
        <v>120</v>
      </c>
      <c r="CA127" s="160">
        <v>0</v>
      </c>
      <c r="CB127" s="145">
        <f t="shared" si="79"/>
        <v>0</v>
      </c>
      <c r="CC127" s="146"/>
      <c r="CD127" s="151">
        <f t="shared" si="80"/>
        <v>2.44</v>
      </c>
      <c r="CE127" s="161" t="s">
        <v>120</v>
      </c>
      <c r="CF127" s="162" t="s">
        <v>120</v>
      </c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</row>
    <row r="128" spans="1:256" ht="12.3">
      <c r="A128" s="128" t="s">
        <v>441</v>
      </c>
      <c r="B128" s="129">
        <v>3250</v>
      </c>
      <c r="C128" s="129">
        <v>31300</v>
      </c>
      <c r="D128" s="129"/>
      <c r="E128" s="129"/>
      <c r="F128" s="130"/>
      <c r="G128" s="131" t="s">
        <v>401</v>
      </c>
      <c r="H128" s="131" t="s">
        <v>120</v>
      </c>
      <c r="I128" s="131" t="s">
        <v>120</v>
      </c>
      <c r="J128" s="131" t="s">
        <v>442</v>
      </c>
      <c r="K128" s="131" t="s">
        <v>443</v>
      </c>
      <c r="L128" s="177">
        <v>20</v>
      </c>
      <c r="M128" s="131" t="str">
        <f>_xlfn.XLOOKUP(L128,[1]Auslegungsgrundlagen!$A$9:$A$100,[1]Auslegungsgrundlagen!$B$9:$B$100)</f>
        <v>Serminarraum</v>
      </c>
      <c r="N128" s="132">
        <v>60</v>
      </c>
      <c r="O128" s="132">
        <v>180.66</v>
      </c>
      <c r="P128" s="133">
        <v>0</v>
      </c>
      <c r="Q128" s="134"/>
      <c r="R128" s="135">
        <f>_xlfn.XLOOKUP(L128,[1]Auslegungsgrundlagen!$A$9:$A$100,[1]Auslegungsgrundlagen!$M$9:$M$100)</f>
        <v>50</v>
      </c>
      <c r="S128" s="136">
        <f>_xlfn.XLOOKUP(L128,[1]Auslegungsgrundlagen!$A$9:$A$100,[1]Auslegungsgrundlagen!$Q$9:$Q$100)*P128</f>
        <v>0</v>
      </c>
      <c r="T128" s="137">
        <v>0</v>
      </c>
      <c r="U128" s="137">
        <v>0</v>
      </c>
      <c r="V128" s="138">
        <v>0</v>
      </c>
      <c r="W128" s="139">
        <f t="shared" si="66"/>
        <v>3</v>
      </c>
      <c r="X128" s="140" t="s">
        <v>481</v>
      </c>
      <c r="Y128" s="137">
        <f t="shared" si="83"/>
        <v>3000</v>
      </c>
      <c r="Z128" s="141">
        <v>1</v>
      </c>
      <c r="AA128" s="142">
        <f t="shared" si="67"/>
        <v>3</v>
      </c>
      <c r="AB128" s="140" t="s">
        <v>120</v>
      </c>
      <c r="AC128" s="143" t="s">
        <v>120</v>
      </c>
      <c r="AD128" s="144">
        <v>0</v>
      </c>
      <c r="AE128" s="145">
        <f t="shared" si="68"/>
        <v>0</v>
      </c>
      <c r="AF128" s="146"/>
      <c r="AG128" s="140" t="s">
        <v>120</v>
      </c>
      <c r="AH128" s="143" t="s">
        <v>120</v>
      </c>
      <c r="AI128" s="144">
        <v>0</v>
      </c>
      <c r="AJ128" s="145">
        <f t="shared" si="69"/>
        <v>0</v>
      </c>
      <c r="AK128" s="146"/>
      <c r="AL128" s="147">
        <f t="shared" si="70"/>
        <v>3</v>
      </c>
      <c r="AM128" s="140" t="s">
        <v>120</v>
      </c>
      <c r="AN128" s="143" t="s">
        <v>120</v>
      </c>
      <c r="AO128" s="144">
        <v>0</v>
      </c>
      <c r="AP128" s="148">
        <v>0</v>
      </c>
      <c r="AQ128" s="142">
        <f t="shared" si="71"/>
        <v>0</v>
      </c>
      <c r="AR128" s="140" t="s">
        <v>120</v>
      </c>
      <c r="AS128" s="143" t="s">
        <v>120</v>
      </c>
      <c r="AT128" s="144">
        <v>0</v>
      </c>
      <c r="AU128" s="149">
        <v>0</v>
      </c>
      <c r="AV128" s="145">
        <f t="shared" si="72"/>
        <v>0</v>
      </c>
      <c r="AW128" s="146"/>
      <c r="AX128" s="140" t="s">
        <v>120</v>
      </c>
      <c r="AY128" s="143" t="s">
        <v>120</v>
      </c>
      <c r="AZ128" s="144">
        <v>0</v>
      </c>
      <c r="BA128" s="149">
        <v>0</v>
      </c>
      <c r="BB128" s="145">
        <f t="shared" si="73"/>
        <v>0</v>
      </c>
      <c r="BC128" s="150"/>
      <c r="BD128" s="151">
        <f t="shared" si="74"/>
        <v>0</v>
      </c>
      <c r="BE128" s="152">
        <f t="shared" si="75"/>
        <v>3</v>
      </c>
      <c r="BF128" s="140" t="s">
        <v>120</v>
      </c>
      <c r="BG128" s="153" t="s">
        <v>120</v>
      </c>
      <c r="BH128" s="154" t="s">
        <v>120</v>
      </c>
      <c r="BI128" s="155" t="s">
        <v>120</v>
      </c>
      <c r="BJ128" s="156" t="s">
        <v>120</v>
      </c>
      <c r="BK128" s="157"/>
      <c r="BL128" s="158">
        <f>_xlfn.XLOOKUP(L128,[1]Auslegungsgrundlagen!$A$9:$A$100,[1]Auslegungsgrundlagen!$U$9:$U$100)</f>
        <v>40</v>
      </c>
      <c r="BM128" s="137">
        <v>0</v>
      </c>
      <c r="BN128" s="159">
        <v>0</v>
      </c>
      <c r="BO128" s="152">
        <f t="shared" si="76"/>
        <v>2.4</v>
      </c>
      <c r="BP128" s="140" t="s">
        <v>481</v>
      </c>
      <c r="BQ128" s="143">
        <f t="shared" si="84"/>
        <v>2400</v>
      </c>
      <c r="BR128" s="160">
        <v>1</v>
      </c>
      <c r="BS128" s="142">
        <f t="shared" si="77"/>
        <v>2.4</v>
      </c>
      <c r="BT128" s="140" t="s">
        <v>120</v>
      </c>
      <c r="BU128" s="143" t="s">
        <v>120</v>
      </c>
      <c r="BV128" s="160">
        <v>0</v>
      </c>
      <c r="BW128" s="145">
        <f t="shared" si="78"/>
        <v>0</v>
      </c>
      <c r="BX128" s="146"/>
      <c r="BY128" s="140" t="s">
        <v>120</v>
      </c>
      <c r="BZ128" s="143" t="s">
        <v>120</v>
      </c>
      <c r="CA128" s="160">
        <v>0</v>
      </c>
      <c r="CB128" s="145">
        <f t="shared" si="79"/>
        <v>0</v>
      </c>
      <c r="CC128" s="146"/>
      <c r="CD128" s="151">
        <f t="shared" si="80"/>
        <v>2.4</v>
      </c>
      <c r="CE128" s="161" t="s">
        <v>120</v>
      </c>
      <c r="CF128" s="162" t="s">
        <v>120</v>
      </c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</row>
    <row r="129" spans="1:256" ht="12.3">
      <c r="A129" s="128" t="s">
        <v>423</v>
      </c>
      <c r="B129" s="129">
        <v>3250</v>
      </c>
      <c r="C129" s="129">
        <v>12530</v>
      </c>
      <c r="D129" s="129"/>
      <c r="E129" s="129"/>
      <c r="F129" s="130"/>
      <c r="G129" s="131" t="s">
        <v>401</v>
      </c>
      <c r="H129" s="131" t="s">
        <v>120</v>
      </c>
      <c r="I129" s="131" t="s">
        <v>120</v>
      </c>
      <c r="J129" s="131" t="s">
        <v>424</v>
      </c>
      <c r="K129" s="131" t="s">
        <v>230</v>
      </c>
      <c r="L129" s="177">
        <v>2</v>
      </c>
      <c r="M129" s="131" t="str">
        <f>_xlfn.XLOOKUP(L129,[1]Auslegungsgrundlagen!$A$9:$A$100,[1]Auslegungsgrundlagen!$B$9:$B$100)</f>
        <v>Einzel-/Zweierbüros</v>
      </c>
      <c r="N129" s="132">
        <v>9</v>
      </c>
      <c r="O129" s="132">
        <v>26.24</v>
      </c>
      <c r="P129" s="133">
        <v>0</v>
      </c>
      <c r="Q129" s="134"/>
      <c r="R129" s="135">
        <f>_xlfn.XLOOKUP(L129,[1]Auslegungsgrundlagen!$A$9:$A$100,[1]Auslegungsgrundlagen!$M$9:$M$100)</f>
        <v>50</v>
      </c>
      <c r="S129" s="136">
        <f>_xlfn.XLOOKUP(L129,[1]Auslegungsgrundlagen!$A$9:$A$100,[1]Auslegungsgrundlagen!$Q$9:$Q$100)*P129</f>
        <v>0</v>
      </c>
      <c r="T129" s="137">
        <v>0</v>
      </c>
      <c r="U129" s="137">
        <v>0</v>
      </c>
      <c r="V129" s="138">
        <v>0</v>
      </c>
      <c r="W129" s="139">
        <f t="shared" si="66"/>
        <v>0.45</v>
      </c>
      <c r="X129" s="140" t="s">
        <v>481</v>
      </c>
      <c r="Y129" s="137">
        <f t="shared" si="83"/>
        <v>450</v>
      </c>
      <c r="Z129" s="141">
        <v>1</v>
      </c>
      <c r="AA129" s="142">
        <f t="shared" si="67"/>
        <v>0.45</v>
      </c>
      <c r="AB129" s="140" t="s">
        <v>120</v>
      </c>
      <c r="AC129" s="143" t="s">
        <v>120</v>
      </c>
      <c r="AD129" s="144">
        <v>0</v>
      </c>
      <c r="AE129" s="145">
        <f t="shared" si="68"/>
        <v>0</v>
      </c>
      <c r="AF129" s="146"/>
      <c r="AG129" s="140" t="s">
        <v>120</v>
      </c>
      <c r="AH129" s="143" t="s">
        <v>120</v>
      </c>
      <c r="AI129" s="144">
        <v>0</v>
      </c>
      <c r="AJ129" s="145">
        <f t="shared" si="69"/>
        <v>0</v>
      </c>
      <c r="AK129" s="146"/>
      <c r="AL129" s="147">
        <f t="shared" si="70"/>
        <v>0.45</v>
      </c>
      <c r="AM129" s="140" t="s">
        <v>120</v>
      </c>
      <c r="AN129" s="143" t="s">
        <v>120</v>
      </c>
      <c r="AO129" s="144">
        <v>0</v>
      </c>
      <c r="AP129" s="148">
        <v>0</v>
      </c>
      <c r="AQ129" s="142">
        <f t="shared" si="71"/>
        <v>0</v>
      </c>
      <c r="AR129" s="140" t="s">
        <v>120</v>
      </c>
      <c r="AS129" s="143" t="s">
        <v>120</v>
      </c>
      <c r="AT129" s="144">
        <v>0</v>
      </c>
      <c r="AU129" s="149">
        <v>0</v>
      </c>
      <c r="AV129" s="145">
        <f t="shared" si="72"/>
        <v>0</v>
      </c>
      <c r="AW129" s="146"/>
      <c r="AX129" s="140" t="s">
        <v>120</v>
      </c>
      <c r="AY129" s="143" t="s">
        <v>120</v>
      </c>
      <c r="AZ129" s="144">
        <v>0</v>
      </c>
      <c r="BA129" s="149">
        <v>0</v>
      </c>
      <c r="BB129" s="145">
        <f t="shared" si="73"/>
        <v>0</v>
      </c>
      <c r="BC129" s="150"/>
      <c r="BD129" s="151">
        <f t="shared" si="74"/>
        <v>0</v>
      </c>
      <c r="BE129" s="152">
        <f t="shared" si="75"/>
        <v>0.45</v>
      </c>
      <c r="BF129" s="140" t="s">
        <v>120</v>
      </c>
      <c r="BG129" s="153" t="s">
        <v>120</v>
      </c>
      <c r="BH129" s="154" t="s">
        <v>120</v>
      </c>
      <c r="BI129" s="155" t="s">
        <v>120</v>
      </c>
      <c r="BJ129" s="156" t="s">
        <v>120</v>
      </c>
      <c r="BK129" s="157"/>
      <c r="BL129" s="158">
        <f>_xlfn.XLOOKUP(L129,[1]Auslegungsgrundlagen!$A$9:$A$100,[1]Auslegungsgrundlagen!$U$9:$U$100)</f>
        <v>40</v>
      </c>
      <c r="BM129" s="137">
        <v>0</v>
      </c>
      <c r="BN129" s="159">
        <v>0</v>
      </c>
      <c r="BO129" s="152">
        <f t="shared" si="76"/>
        <v>0.36</v>
      </c>
      <c r="BP129" s="140" t="s">
        <v>481</v>
      </c>
      <c r="BQ129" s="143">
        <f t="shared" si="84"/>
        <v>360</v>
      </c>
      <c r="BR129" s="160">
        <v>1</v>
      </c>
      <c r="BS129" s="142">
        <f t="shared" si="77"/>
        <v>0.36</v>
      </c>
      <c r="BT129" s="140" t="s">
        <v>120</v>
      </c>
      <c r="BU129" s="143" t="s">
        <v>120</v>
      </c>
      <c r="BV129" s="160">
        <v>0</v>
      </c>
      <c r="BW129" s="145">
        <f t="shared" si="78"/>
        <v>0</v>
      </c>
      <c r="BX129" s="146"/>
      <c r="BY129" s="140" t="s">
        <v>120</v>
      </c>
      <c r="BZ129" s="143" t="s">
        <v>120</v>
      </c>
      <c r="CA129" s="160">
        <v>0</v>
      </c>
      <c r="CB129" s="145">
        <f t="shared" si="79"/>
        <v>0</v>
      </c>
      <c r="CC129" s="146"/>
      <c r="CD129" s="151">
        <f t="shared" si="80"/>
        <v>0.36</v>
      </c>
      <c r="CE129" s="161" t="s">
        <v>120</v>
      </c>
      <c r="CF129" s="162" t="s">
        <v>120</v>
      </c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</row>
    <row r="130" spans="1:256" ht="12.3">
      <c r="A130" s="128" t="s">
        <v>425</v>
      </c>
      <c r="B130" s="129">
        <v>3250</v>
      </c>
      <c r="C130" s="129">
        <v>12530</v>
      </c>
      <c r="D130" s="129"/>
      <c r="E130" s="129"/>
      <c r="F130" s="130"/>
      <c r="G130" s="131" t="s">
        <v>401</v>
      </c>
      <c r="H130" s="131" t="s">
        <v>120</v>
      </c>
      <c r="I130" s="131" t="s">
        <v>120</v>
      </c>
      <c r="J130" s="131" t="s">
        <v>426</v>
      </c>
      <c r="K130" s="131" t="s">
        <v>230</v>
      </c>
      <c r="L130" s="177">
        <v>2</v>
      </c>
      <c r="M130" s="131" t="str">
        <f>_xlfn.XLOOKUP(L130,[1]Auslegungsgrundlagen!$A$9:$A$100,[1]Auslegungsgrundlagen!$B$9:$B$100)</f>
        <v>Einzel-/Zweierbüros</v>
      </c>
      <c r="N130" s="132">
        <v>9</v>
      </c>
      <c r="O130" s="132">
        <v>26.24</v>
      </c>
      <c r="P130" s="133">
        <v>0</v>
      </c>
      <c r="Q130" s="134"/>
      <c r="R130" s="135">
        <f>_xlfn.XLOOKUP(L130,[1]Auslegungsgrundlagen!$A$9:$A$100,[1]Auslegungsgrundlagen!$M$9:$M$100)</f>
        <v>50</v>
      </c>
      <c r="S130" s="136">
        <f>_xlfn.XLOOKUP(L130,[1]Auslegungsgrundlagen!$A$9:$A$100,[1]Auslegungsgrundlagen!$Q$9:$Q$100)*P130</f>
        <v>0</v>
      </c>
      <c r="T130" s="137">
        <v>0</v>
      </c>
      <c r="U130" s="137">
        <v>0</v>
      </c>
      <c r="V130" s="138">
        <v>0</v>
      </c>
      <c r="W130" s="139">
        <f t="shared" si="66"/>
        <v>0.45</v>
      </c>
      <c r="X130" s="140" t="s">
        <v>481</v>
      </c>
      <c r="Y130" s="137">
        <f t="shared" si="83"/>
        <v>450</v>
      </c>
      <c r="Z130" s="141">
        <v>1</v>
      </c>
      <c r="AA130" s="142">
        <f t="shared" si="67"/>
        <v>0.45</v>
      </c>
      <c r="AB130" s="140" t="s">
        <v>120</v>
      </c>
      <c r="AC130" s="143" t="s">
        <v>120</v>
      </c>
      <c r="AD130" s="144">
        <v>0</v>
      </c>
      <c r="AE130" s="145">
        <f t="shared" si="68"/>
        <v>0</v>
      </c>
      <c r="AF130" s="146"/>
      <c r="AG130" s="140" t="s">
        <v>120</v>
      </c>
      <c r="AH130" s="143" t="s">
        <v>120</v>
      </c>
      <c r="AI130" s="144">
        <v>0</v>
      </c>
      <c r="AJ130" s="145">
        <f t="shared" si="69"/>
        <v>0</v>
      </c>
      <c r="AK130" s="146"/>
      <c r="AL130" s="147">
        <f t="shared" si="70"/>
        <v>0.45</v>
      </c>
      <c r="AM130" s="140" t="s">
        <v>120</v>
      </c>
      <c r="AN130" s="143" t="s">
        <v>120</v>
      </c>
      <c r="AO130" s="144">
        <v>0</v>
      </c>
      <c r="AP130" s="148">
        <v>0</v>
      </c>
      <c r="AQ130" s="142">
        <f t="shared" si="71"/>
        <v>0</v>
      </c>
      <c r="AR130" s="140" t="s">
        <v>120</v>
      </c>
      <c r="AS130" s="143" t="s">
        <v>120</v>
      </c>
      <c r="AT130" s="144">
        <v>0</v>
      </c>
      <c r="AU130" s="149">
        <v>0</v>
      </c>
      <c r="AV130" s="145">
        <f t="shared" si="72"/>
        <v>0</v>
      </c>
      <c r="AW130" s="146"/>
      <c r="AX130" s="140" t="s">
        <v>120</v>
      </c>
      <c r="AY130" s="143" t="s">
        <v>120</v>
      </c>
      <c r="AZ130" s="144">
        <v>0</v>
      </c>
      <c r="BA130" s="149">
        <v>0</v>
      </c>
      <c r="BB130" s="145">
        <f t="shared" si="73"/>
        <v>0</v>
      </c>
      <c r="BC130" s="150"/>
      <c r="BD130" s="151">
        <f t="shared" si="74"/>
        <v>0</v>
      </c>
      <c r="BE130" s="152">
        <f t="shared" si="75"/>
        <v>0.45</v>
      </c>
      <c r="BF130" s="140" t="s">
        <v>120</v>
      </c>
      <c r="BG130" s="153" t="s">
        <v>120</v>
      </c>
      <c r="BH130" s="154" t="s">
        <v>120</v>
      </c>
      <c r="BI130" s="155" t="s">
        <v>120</v>
      </c>
      <c r="BJ130" s="156" t="s">
        <v>120</v>
      </c>
      <c r="BK130" s="157"/>
      <c r="BL130" s="158">
        <f>_xlfn.XLOOKUP(L130,[1]Auslegungsgrundlagen!$A$9:$A$100,[1]Auslegungsgrundlagen!$U$9:$U$100)</f>
        <v>40</v>
      </c>
      <c r="BM130" s="137">
        <v>0</v>
      </c>
      <c r="BN130" s="159">
        <v>0</v>
      </c>
      <c r="BO130" s="152">
        <f t="shared" si="76"/>
        <v>0.36</v>
      </c>
      <c r="BP130" s="140" t="s">
        <v>481</v>
      </c>
      <c r="BQ130" s="143">
        <f t="shared" si="84"/>
        <v>360</v>
      </c>
      <c r="BR130" s="160">
        <v>1</v>
      </c>
      <c r="BS130" s="142">
        <f t="shared" si="77"/>
        <v>0.36</v>
      </c>
      <c r="BT130" s="140" t="s">
        <v>120</v>
      </c>
      <c r="BU130" s="143" t="s">
        <v>120</v>
      </c>
      <c r="BV130" s="160">
        <v>0</v>
      </c>
      <c r="BW130" s="145">
        <f t="shared" si="78"/>
        <v>0</v>
      </c>
      <c r="BX130" s="146"/>
      <c r="BY130" s="140" t="s">
        <v>120</v>
      </c>
      <c r="BZ130" s="143" t="s">
        <v>120</v>
      </c>
      <c r="CA130" s="160">
        <v>0</v>
      </c>
      <c r="CB130" s="145">
        <f t="shared" si="79"/>
        <v>0</v>
      </c>
      <c r="CC130" s="146"/>
      <c r="CD130" s="151">
        <f t="shared" si="80"/>
        <v>0.36</v>
      </c>
      <c r="CE130" s="161" t="s">
        <v>120</v>
      </c>
      <c r="CF130" s="162" t="s">
        <v>120</v>
      </c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</row>
    <row r="131" spans="1:256" ht="12.3">
      <c r="A131" s="128" t="s">
        <v>427</v>
      </c>
      <c r="B131" s="129">
        <v>3250</v>
      </c>
      <c r="C131" s="129">
        <v>12630</v>
      </c>
      <c r="D131" s="129"/>
      <c r="E131" s="129"/>
      <c r="F131" s="130"/>
      <c r="G131" s="131" t="s">
        <v>401</v>
      </c>
      <c r="H131" s="131" t="s">
        <v>120</v>
      </c>
      <c r="I131" s="131" t="s">
        <v>120</v>
      </c>
      <c r="J131" s="131" t="s">
        <v>428</v>
      </c>
      <c r="K131" s="131" t="s">
        <v>230</v>
      </c>
      <c r="L131" s="177">
        <v>2</v>
      </c>
      <c r="M131" s="131" t="str">
        <f>_xlfn.XLOOKUP(L131,[1]Auslegungsgrundlagen!$A$9:$A$100,[1]Auslegungsgrundlagen!$B$9:$B$100)</f>
        <v>Einzel-/Zweierbüros</v>
      </c>
      <c r="N131" s="132">
        <v>9</v>
      </c>
      <c r="O131" s="132">
        <v>26.55</v>
      </c>
      <c r="P131" s="133">
        <v>0</v>
      </c>
      <c r="Q131" s="134"/>
      <c r="R131" s="135">
        <f>_xlfn.XLOOKUP(L131,[1]Auslegungsgrundlagen!$A$9:$A$100,[1]Auslegungsgrundlagen!$M$9:$M$100)</f>
        <v>50</v>
      </c>
      <c r="S131" s="136">
        <f>_xlfn.XLOOKUP(L131,[1]Auslegungsgrundlagen!$A$9:$A$100,[1]Auslegungsgrundlagen!$Q$9:$Q$100)*P131</f>
        <v>0</v>
      </c>
      <c r="T131" s="137">
        <v>0</v>
      </c>
      <c r="U131" s="137">
        <v>0</v>
      </c>
      <c r="V131" s="138">
        <v>0</v>
      </c>
      <c r="W131" s="139">
        <f t="shared" si="66"/>
        <v>0.45</v>
      </c>
      <c r="X131" s="140" t="s">
        <v>481</v>
      </c>
      <c r="Y131" s="137">
        <f t="shared" si="83"/>
        <v>450</v>
      </c>
      <c r="Z131" s="141">
        <v>1</v>
      </c>
      <c r="AA131" s="142">
        <f t="shared" si="67"/>
        <v>0.45</v>
      </c>
      <c r="AB131" s="140" t="s">
        <v>120</v>
      </c>
      <c r="AC131" s="143" t="s">
        <v>120</v>
      </c>
      <c r="AD131" s="144">
        <v>0</v>
      </c>
      <c r="AE131" s="145">
        <f t="shared" si="68"/>
        <v>0</v>
      </c>
      <c r="AF131" s="146"/>
      <c r="AG131" s="140" t="s">
        <v>120</v>
      </c>
      <c r="AH131" s="143" t="s">
        <v>120</v>
      </c>
      <c r="AI131" s="144">
        <v>0</v>
      </c>
      <c r="AJ131" s="145">
        <f t="shared" si="69"/>
        <v>0</v>
      </c>
      <c r="AK131" s="146"/>
      <c r="AL131" s="147">
        <f t="shared" si="70"/>
        <v>0.45</v>
      </c>
      <c r="AM131" s="140" t="s">
        <v>120</v>
      </c>
      <c r="AN131" s="143" t="s">
        <v>120</v>
      </c>
      <c r="AO131" s="144">
        <v>0</v>
      </c>
      <c r="AP131" s="148">
        <v>0</v>
      </c>
      <c r="AQ131" s="142">
        <f t="shared" si="71"/>
        <v>0</v>
      </c>
      <c r="AR131" s="140" t="s">
        <v>120</v>
      </c>
      <c r="AS131" s="143" t="s">
        <v>120</v>
      </c>
      <c r="AT131" s="144">
        <v>0</v>
      </c>
      <c r="AU131" s="149">
        <v>0</v>
      </c>
      <c r="AV131" s="145">
        <f t="shared" si="72"/>
        <v>0</v>
      </c>
      <c r="AW131" s="146"/>
      <c r="AX131" s="140" t="s">
        <v>120</v>
      </c>
      <c r="AY131" s="143" t="s">
        <v>120</v>
      </c>
      <c r="AZ131" s="144">
        <v>0</v>
      </c>
      <c r="BA131" s="149">
        <v>0</v>
      </c>
      <c r="BB131" s="145">
        <f t="shared" si="73"/>
        <v>0</v>
      </c>
      <c r="BC131" s="150"/>
      <c r="BD131" s="151">
        <f t="shared" si="74"/>
        <v>0</v>
      </c>
      <c r="BE131" s="152">
        <f t="shared" si="75"/>
        <v>0.45</v>
      </c>
      <c r="BF131" s="140" t="s">
        <v>120</v>
      </c>
      <c r="BG131" s="153" t="s">
        <v>120</v>
      </c>
      <c r="BH131" s="154" t="s">
        <v>120</v>
      </c>
      <c r="BI131" s="155" t="s">
        <v>120</v>
      </c>
      <c r="BJ131" s="156" t="s">
        <v>120</v>
      </c>
      <c r="BK131" s="157"/>
      <c r="BL131" s="158">
        <f>_xlfn.XLOOKUP(L131,[1]Auslegungsgrundlagen!$A$9:$A$100,[1]Auslegungsgrundlagen!$U$9:$U$100)</f>
        <v>40</v>
      </c>
      <c r="BM131" s="137">
        <v>0</v>
      </c>
      <c r="BN131" s="159">
        <v>0</v>
      </c>
      <c r="BO131" s="152">
        <f t="shared" si="76"/>
        <v>0.36</v>
      </c>
      <c r="BP131" s="140" t="s">
        <v>481</v>
      </c>
      <c r="BQ131" s="143">
        <f t="shared" si="84"/>
        <v>360</v>
      </c>
      <c r="BR131" s="160">
        <v>1</v>
      </c>
      <c r="BS131" s="142">
        <f t="shared" si="77"/>
        <v>0.36</v>
      </c>
      <c r="BT131" s="140" t="s">
        <v>120</v>
      </c>
      <c r="BU131" s="143" t="s">
        <v>120</v>
      </c>
      <c r="BV131" s="160">
        <v>0</v>
      </c>
      <c r="BW131" s="145">
        <f t="shared" si="78"/>
        <v>0</v>
      </c>
      <c r="BX131" s="146"/>
      <c r="BY131" s="140" t="s">
        <v>120</v>
      </c>
      <c r="BZ131" s="143" t="s">
        <v>120</v>
      </c>
      <c r="CA131" s="160">
        <v>0</v>
      </c>
      <c r="CB131" s="145">
        <f t="shared" si="79"/>
        <v>0</v>
      </c>
      <c r="CC131" s="146"/>
      <c r="CD131" s="151">
        <f t="shared" si="80"/>
        <v>0.36</v>
      </c>
      <c r="CE131" s="161" t="s">
        <v>120</v>
      </c>
      <c r="CF131" s="162" t="s">
        <v>120</v>
      </c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</row>
    <row r="132" spans="1:256" ht="12.3">
      <c r="A132" s="128" t="s">
        <v>429</v>
      </c>
      <c r="B132" s="129">
        <v>3250</v>
      </c>
      <c r="C132" s="129">
        <v>12630</v>
      </c>
      <c r="D132" s="129"/>
      <c r="E132" s="129"/>
      <c r="F132" s="130"/>
      <c r="G132" s="131" t="s">
        <v>401</v>
      </c>
      <c r="H132" s="131" t="s">
        <v>120</v>
      </c>
      <c r="I132" s="131" t="s">
        <v>120</v>
      </c>
      <c r="J132" s="131" t="s">
        <v>430</v>
      </c>
      <c r="K132" s="131" t="s">
        <v>230</v>
      </c>
      <c r="L132" s="177">
        <v>2</v>
      </c>
      <c r="M132" s="131" t="str">
        <f>_xlfn.XLOOKUP(L132,[1]Auslegungsgrundlagen!$A$9:$A$100,[1]Auslegungsgrundlagen!$B$9:$B$100)</f>
        <v>Einzel-/Zweierbüros</v>
      </c>
      <c r="N132" s="132">
        <v>9</v>
      </c>
      <c r="O132" s="132">
        <v>26.55</v>
      </c>
      <c r="P132" s="133">
        <v>0</v>
      </c>
      <c r="Q132" s="134"/>
      <c r="R132" s="135">
        <f>_xlfn.XLOOKUP(L132,[1]Auslegungsgrundlagen!$A$9:$A$100,[1]Auslegungsgrundlagen!$M$9:$M$100)</f>
        <v>50</v>
      </c>
      <c r="S132" s="136">
        <f>_xlfn.XLOOKUP(L132,[1]Auslegungsgrundlagen!$A$9:$A$100,[1]Auslegungsgrundlagen!$Q$9:$Q$100)*P132</f>
        <v>0</v>
      </c>
      <c r="T132" s="137">
        <v>0</v>
      </c>
      <c r="U132" s="137">
        <v>0</v>
      </c>
      <c r="V132" s="138">
        <v>0</v>
      </c>
      <c r="W132" s="139">
        <f t="shared" si="66"/>
        <v>0.45</v>
      </c>
      <c r="X132" s="140" t="s">
        <v>481</v>
      </c>
      <c r="Y132" s="137">
        <f t="shared" si="83"/>
        <v>450</v>
      </c>
      <c r="Z132" s="141">
        <v>1</v>
      </c>
      <c r="AA132" s="142">
        <f t="shared" si="67"/>
        <v>0.45</v>
      </c>
      <c r="AB132" s="140" t="s">
        <v>120</v>
      </c>
      <c r="AC132" s="143" t="s">
        <v>120</v>
      </c>
      <c r="AD132" s="144">
        <v>0</v>
      </c>
      <c r="AE132" s="145">
        <f t="shared" si="68"/>
        <v>0</v>
      </c>
      <c r="AF132" s="146"/>
      <c r="AG132" s="140" t="s">
        <v>120</v>
      </c>
      <c r="AH132" s="143" t="s">
        <v>120</v>
      </c>
      <c r="AI132" s="144">
        <v>0</v>
      </c>
      <c r="AJ132" s="145">
        <f t="shared" si="69"/>
        <v>0</v>
      </c>
      <c r="AK132" s="146"/>
      <c r="AL132" s="147">
        <f t="shared" si="70"/>
        <v>0.45</v>
      </c>
      <c r="AM132" s="140" t="s">
        <v>120</v>
      </c>
      <c r="AN132" s="143" t="s">
        <v>120</v>
      </c>
      <c r="AO132" s="144">
        <v>0</v>
      </c>
      <c r="AP132" s="148">
        <v>0</v>
      </c>
      <c r="AQ132" s="142">
        <f t="shared" si="71"/>
        <v>0</v>
      </c>
      <c r="AR132" s="140" t="s">
        <v>120</v>
      </c>
      <c r="AS132" s="143" t="s">
        <v>120</v>
      </c>
      <c r="AT132" s="144">
        <v>0</v>
      </c>
      <c r="AU132" s="149">
        <v>0</v>
      </c>
      <c r="AV132" s="145">
        <f t="shared" si="72"/>
        <v>0</v>
      </c>
      <c r="AW132" s="146"/>
      <c r="AX132" s="140" t="s">
        <v>120</v>
      </c>
      <c r="AY132" s="143" t="s">
        <v>120</v>
      </c>
      <c r="AZ132" s="144">
        <v>0</v>
      </c>
      <c r="BA132" s="149">
        <v>0</v>
      </c>
      <c r="BB132" s="145">
        <f t="shared" si="73"/>
        <v>0</v>
      </c>
      <c r="BC132" s="150"/>
      <c r="BD132" s="151">
        <f t="shared" si="74"/>
        <v>0</v>
      </c>
      <c r="BE132" s="152">
        <f t="shared" si="75"/>
        <v>0.45</v>
      </c>
      <c r="BF132" s="140" t="s">
        <v>120</v>
      </c>
      <c r="BG132" s="153" t="s">
        <v>120</v>
      </c>
      <c r="BH132" s="154" t="s">
        <v>120</v>
      </c>
      <c r="BI132" s="155" t="s">
        <v>120</v>
      </c>
      <c r="BJ132" s="156" t="s">
        <v>120</v>
      </c>
      <c r="BK132" s="157"/>
      <c r="BL132" s="158">
        <f>_xlfn.XLOOKUP(L132,[1]Auslegungsgrundlagen!$A$9:$A$100,[1]Auslegungsgrundlagen!$U$9:$U$100)</f>
        <v>40</v>
      </c>
      <c r="BM132" s="137">
        <v>0</v>
      </c>
      <c r="BN132" s="159">
        <v>0</v>
      </c>
      <c r="BO132" s="152">
        <f t="shared" si="76"/>
        <v>0.36</v>
      </c>
      <c r="BP132" s="140" t="s">
        <v>481</v>
      </c>
      <c r="BQ132" s="143">
        <f t="shared" si="84"/>
        <v>360</v>
      </c>
      <c r="BR132" s="160">
        <v>1</v>
      </c>
      <c r="BS132" s="142">
        <f t="shared" si="77"/>
        <v>0.36</v>
      </c>
      <c r="BT132" s="140" t="s">
        <v>120</v>
      </c>
      <c r="BU132" s="143" t="s">
        <v>120</v>
      </c>
      <c r="BV132" s="160">
        <v>0</v>
      </c>
      <c r="BW132" s="145">
        <f t="shared" si="78"/>
        <v>0</v>
      </c>
      <c r="BX132" s="146"/>
      <c r="BY132" s="140" t="s">
        <v>120</v>
      </c>
      <c r="BZ132" s="143" t="s">
        <v>120</v>
      </c>
      <c r="CA132" s="160">
        <v>0</v>
      </c>
      <c r="CB132" s="145">
        <f t="shared" si="79"/>
        <v>0</v>
      </c>
      <c r="CC132" s="146"/>
      <c r="CD132" s="151">
        <f t="shared" si="80"/>
        <v>0.36</v>
      </c>
      <c r="CE132" s="161" t="s">
        <v>120</v>
      </c>
      <c r="CF132" s="162" t="s">
        <v>120</v>
      </c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</row>
    <row r="133" spans="1:256" ht="12.3">
      <c r="A133" s="128" t="s">
        <v>431</v>
      </c>
      <c r="B133" s="129">
        <v>3250</v>
      </c>
      <c r="C133" s="129">
        <v>17030</v>
      </c>
      <c r="D133" s="129"/>
      <c r="E133" s="129"/>
      <c r="F133" s="130"/>
      <c r="G133" s="131" t="s">
        <v>401</v>
      </c>
      <c r="H133" s="131" t="s">
        <v>120</v>
      </c>
      <c r="I133" s="131" t="s">
        <v>120</v>
      </c>
      <c r="J133" s="131" t="s">
        <v>432</v>
      </c>
      <c r="K133" s="131" t="s">
        <v>194</v>
      </c>
      <c r="L133" s="177">
        <v>2</v>
      </c>
      <c r="M133" s="131" t="str">
        <f>_xlfn.XLOOKUP(L133,[1]Auslegungsgrundlagen!$A$9:$A$100,[1]Auslegungsgrundlagen!$B$9:$B$100)</f>
        <v>Einzel-/Zweierbüros</v>
      </c>
      <c r="N133" s="132">
        <v>18</v>
      </c>
      <c r="O133" s="132">
        <v>54.35</v>
      </c>
      <c r="P133" s="133">
        <v>0</v>
      </c>
      <c r="Q133" s="134"/>
      <c r="R133" s="135">
        <f>_xlfn.XLOOKUP(L133,[1]Auslegungsgrundlagen!$A$9:$A$100,[1]Auslegungsgrundlagen!$M$9:$M$100)</f>
        <v>50</v>
      </c>
      <c r="S133" s="136">
        <f>_xlfn.XLOOKUP(L133,[1]Auslegungsgrundlagen!$A$9:$A$100,[1]Auslegungsgrundlagen!$Q$9:$Q$100)*P133</f>
        <v>0</v>
      </c>
      <c r="T133" s="137">
        <v>0</v>
      </c>
      <c r="U133" s="137">
        <v>0</v>
      </c>
      <c r="V133" s="138">
        <v>0</v>
      </c>
      <c r="W133" s="139">
        <f t="shared" si="66"/>
        <v>0.9</v>
      </c>
      <c r="X133" s="140" t="s">
        <v>481</v>
      </c>
      <c r="Y133" s="137">
        <f t="shared" si="83"/>
        <v>900</v>
      </c>
      <c r="Z133" s="141">
        <v>1</v>
      </c>
      <c r="AA133" s="142">
        <f t="shared" si="67"/>
        <v>0.9</v>
      </c>
      <c r="AB133" s="140" t="s">
        <v>120</v>
      </c>
      <c r="AC133" s="143" t="s">
        <v>120</v>
      </c>
      <c r="AD133" s="144">
        <v>0</v>
      </c>
      <c r="AE133" s="145">
        <f t="shared" si="68"/>
        <v>0</v>
      </c>
      <c r="AF133" s="146"/>
      <c r="AG133" s="140" t="s">
        <v>120</v>
      </c>
      <c r="AH133" s="143" t="s">
        <v>120</v>
      </c>
      <c r="AI133" s="144">
        <v>0</v>
      </c>
      <c r="AJ133" s="145">
        <f t="shared" si="69"/>
        <v>0</v>
      </c>
      <c r="AK133" s="146"/>
      <c r="AL133" s="147">
        <f t="shared" si="70"/>
        <v>0.9</v>
      </c>
      <c r="AM133" s="140" t="s">
        <v>120</v>
      </c>
      <c r="AN133" s="143" t="s">
        <v>120</v>
      </c>
      <c r="AO133" s="144">
        <v>0</v>
      </c>
      <c r="AP133" s="148">
        <v>0</v>
      </c>
      <c r="AQ133" s="142">
        <f t="shared" si="71"/>
        <v>0</v>
      </c>
      <c r="AR133" s="140" t="s">
        <v>120</v>
      </c>
      <c r="AS133" s="143" t="s">
        <v>120</v>
      </c>
      <c r="AT133" s="144">
        <v>0</v>
      </c>
      <c r="AU133" s="149">
        <v>0</v>
      </c>
      <c r="AV133" s="145">
        <f t="shared" si="72"/>
        <v>0</v>
      </c>
      <c r="AW133" s="146"/>
      <c r="AX133" s="140" t="s">
        <v>120</v>
      </c>
      <c r="AY133" s="143" t="s">
        <v>120</v>
      </c>
      <c r="AZ133" s="144">
        <v>0</v>
      </c>
      <c r="BA133" s="149">
        <v>0</v>
      </c>
      <c r="BB133" s="145">
        <f t="shared" si="73"/>
        <v>0</v>
      </c>
      <c r="BC133" s="150"/>
      <c r="BD133" s="151">
        <f t="shared" si="74"/>
        <v>0</v>
      </c>
      <c r="BE133" s="152">
        <f t="shared" si="75"/>
        <v>0.9</v>
      </c>
      <c r="BF133" s="140" t="s">
        <v>120</v>
      </c>
      <c r="BG133" s="153" t="s">
        <v>120</v>
      </c>
      <c r="BH133" s="154" t="s">
        <v>120</v>
      </c>
      <c r="BI133" s="155" t="s">
        <v>120</v>
      </c>
      <c r="BJ133" s="156" t="s">
        <v>120</v>
      </c>
      <c r="BK133" s="157"/>
      <c r="BL133" s="158">
        <f>_xlfn.XLOOKUP(L133,[1]Auslegungsgrundlagen!$A$9:$A$100,[1]Auslegungsgrundlagen!$U$9:$U$100)</f>
        <v>40</v>
      </c>
      <c r="BM133" s="137">
        <v>0</v>
      </c>
      <c r="BN133" s="159">
        <v>0</v>
      </c>
      <c r="BO133" s="152">
        <f t="shared" si="76"/>
        <v>0.72</v>
      </c>
      <c r="BP133" s="140" t="s">
        <v>481</v>
      </c>
      <c r="BQ133" s="143">
        <f t="shared" si="84"/>
        <v>720</v>
      </c>
      <c r="BR133" s="160">
        <v>1</v>
      </c>
      <c r="BS133" s="142">
        <f t="shared" si="77"/>
        <v>0.72</v>
      </c>
      <c r="BT133" s="140" t="s">
        <v>120</v>
      </c>
      <c r="BU133" s="143" t="s">
        <v>120</v>
      </c>
      <c r="BV133" s="160">
        <v>0</v>
      </c>
      <c r="BW133" s="145">
        <f t="shared" si="78"/>
        <v>0</v>
      </c>
      <c r="BX133" s="146"/>
      <c r="BY133" s="140" t="s">
        <v>120</v>
      </c>
      <c r="BZ133" s="143" t="s">
        <v>120</v>
      </c>
      <c r="CA133" s="160">
        <v>0</v>
      </c>
      <c r="CB133" s="145">
        <f t="shared" si="79"/>
        <v>0</v>
      </c>
      <c r="CC133" s="146"/>
      <c r="CD133" s="151">
        <f t="shared" si="80"/>
        <v>0.72</v>
      </c>
      <c r="CE133" s="161" t="s">
        <v>120</v>
      </c>
      <c r="CF133" s="162" t="s">
        <v>120</v>
      </c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</row>
    <row r="134" spans="1:256" ht="12.3">
      <c r="A134" s="128" t="s">
        <v>433</v>
      </c>
      <c r="B134" s="129">
        <v>3250</v>
      </c>
      <c r="C134" s="129">
        <v>12630</v>
      </c>
      <c r="D134" s="129"/>
      <c r="E134" s="129"/>
      <c r="F134" s="130"/>
      <c r="G134" s="131" t="s">
        <v>401</v>
      </c>
      <c r="H134" s="131" t="s">
        <v>120</v>
      </c>
      <c r="I134" s="131" t="s">
        <v>120</v>
      </c>
      <c r="J134" s="131" t="s">
        <v>434</v>
      </c>
      <c r="K134" s="131" t="s">
        <v>230</v>
      </c>
      <c r="L134" s="177">
        <v>2</v>
      </c>
      <c r="M134" s="131" t="str">
        <f>_xlfn.XLOOKUP(L134,[1]Auslegungsgrundlagen!$A$9:$A$100,[1]Auslegungsgrundlagen!$B$9:$B$100)</f>
        <v>Einzel-/Zweierbüros</v>
      </c>
      <c r="N134" s="132">
        <v>9</v>
      </c>
      <c r="O134" s="132">
        <v>26.55</v>
      </c>
      <c r="P134" s="133">
        <v>0</v>
      </c>
      <c r="Q134" s="134"/>
      <c r="R134" s="135">
        <f>_xlfn.XLOOKUP(L134,[1]Auslegungsgrundlagen!$A$9:$A$100,[1]Auslegungsgrundlagen!$M$9:$M$100)</f>
        <v>50</v>
      </c>
      <c r="S134" s="136">
        <f>_xlfn.XLOOKUP(L134,[1]Auslegungsgrundlagen!$A$9:$A$100,[1]Auslegungsgrundlagen!$Q$9:$Q$100)*P134</f>
        <v>0</v>
      </c>
      <c r="T134" s="137">
        <v>0</v>
      </c>
      <c r="U134" s="137">
        <v>0</v>
      </c>
      <c r="V134" s="138">
        <v>0</v>
      </c>
      <c r="W134" s="139">
        <f t="shared" si="66"/>
        <v>0.45</v>
      </c>
      <c r="X134" s="140" t="s">
        <v>481</v>
      </c>
      <c r="Y134" s="137">
        <f t="shared" si="83"/>
        <v>450</v>
      </c>
      <c r="Z134" s="141">
        <v>1</v>
      </c>
      <c r="AA134" s="142">
        <f t="shared" si="67"/>
        <v>0.45</v>
      </c>
      <c r="AB134" s="140" t="s">
        <v>120</v>
      </c>
      <c r="AC134" s="143" t="s">
        <v>120</v>
      </c>
      <c r="AD134" s="144">
        <v>0</v>
      </c>
      <c r="AE134" s="145">
        <f t="shared" si="68"/>
        <v>0</v>
      </c>
      <c r="AF134" s="146"/>
      <c r="AG134" s="140" t="s">
        <v>120</v>
      </c>
      <c r="AH134" s="143" t="s">
        <v>120</v>
      </c>
      <c r="AI134" s="144">
        <v>0</v>
      </c>
      <c r="AJ134" s="145">
        <f t="shared" si="69"/>
        <v>0</v>
      </c>
      <c r="AK134" s="146"/>
      <c r="AL134" s="147">
        <f t="shared" si="70"/>
        <v>0.45</v>
      </c>
      <c r="AM134" s="140" t="s">
        <v>120</v>
      </c>
      <c r="AN134" s="143" t="s">
        <v>120</v>
      </c>
      <c r="AO134" s="144">
        <v>0</v>
      </c>
      <c r="AP134" s="148">
        <v>0</v>
      </c>
      <c r="AQ134" s="142">
        <f t="shared" si="71"/>
        <v>0</v>
      </c>
      <c r="AR134" s="140" t="s">
        <v>120</v>
      </c>
      <c r="AS134" s="143" t="s">
        <v>120</v>
      </c>
      <c r="AT134" s="144">
        <v>0</v>
      </c>
      <c r="AU134" s="149">
        <v>0</v>
      </c>
      <c r="AV134" s="145">
        <f t="shared" si="72"/>
        <v>0</v>
      </c>
      <c r="AW134" s="146"/>
      <c r="AX134" s="140" t="s">
        <v>120</v>
      </c>
      <c r="AY134" s="143" t="s">
        <v>120</v>
      </c>
      <c r="AZ134" s="144">
        <v>0</v>
      </c>
      <c r="BA134" s="149">
        <v>0</v>
      </c>
      <c r="BB134" s="145">
        <f t="shared" si="73"/>
        <v>0</v>
      </c>
      <c r="BC134" s="150"/>
      <c r="BD134" s="151">
        <f t="shared" si="74"/>
        <v>0</v>
      </c>
      <c r="BE134" s="152">
        <f t="shared" si="75"/>
        <v>0.45</v>
      </c>
      <c r="BF134" s="140" t="s">
        <v>120</v>
      </c>
      <c r="BG134" s="153" t="s">
        <v>120</v>
      </c>
      <c r="BH134" s="154" t="s">
        <v>120</v>
      </c>
      <c r="BI134" s="155" t="s">
        <v>120</v>
      </c>
      <c r="BJ134" s="156" t="s">
        <v>120</v>
      </c>
      <c r="BK134" s="157"/>
      <c r="BL134" s="158">
        <f>_xlfn.XLOOKUP(L134,[1]Auslegungsgrundlagen!$A$9:$A$100,[1]Auslegungsgrundlagen!$U$9:$U$100)</f>
        <v>40</v>
      </c>
      <c r="BM134" s="137">
        <v>0</v>
      </c>
      <c r="BN134" s="159">
        <v>0</v>
      </c>
      <c r="BO134" s="152">
        <f t="shared" si="76"/>
        <v>0.36</v>
      </c>
      <c r="BP134" s="140" t="s">
        <v>481</v>
      </c>
      <c r="BQ134" s="143">
        <f t="shared" si="84"/>
        <v>360</v>
      </c>
      <c r="BR134" s="160">
        <v>1</v>
      </c>
      <c r="BS134" s="142">
        <f t="shared" si="77"/>
        <v>0.36</v>
      </c>
      <c r="BT134" s="140" t="s">
        <v>120</v>
      </c>
      <c r="BU134" s="143" t="s">
        <v>120</v>
      </c>
      <c r="BV134" s="160">
        <v>0</v>
      </c>
      <c r="BW134" s="145">
        <f t="shared" si="78"/>
        <v>0</v>
      </c>
      <c r="BX134" s="146"/>
      <c r="BY134" s="140" t="s">
        <v>120</v>
      </c>
      <c r="BZ134" s="143" t="s">
        <v>120</v>
      </c>
      <c r="CA134" s="160">
        <v>0</v>
      </c>
      <c r="CB134" s="145">
        <f t="shared" si="79"/>
        <v>0</v>
      </c>
      <c r="CC134" s="146"/>
      <c r="CD134" s="151">
        <f t="shared" si="80"/>
        <v>0.36</v>
      </c>
      <c r="CE134" s="161" t="s">
        <v>120</v>
      </c>
      <c r="CF134" s="162" t="s">
        <v>120</v>
      </c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</row>
    <row r="135" spans="1:256" ht="12.3">
      <c r="A135" s="128" t="s">
        <v>435</v>
      </c>
      <c r="B135" s="129">
        <v>3250</v>
      </c>
      <c r="C135" s="129">
        <v>12530</v>
      </c>
      <c r="D135" s="129"/>
      <c r="E135" s="129"/>
      <c r="F135" s="130"/>
      <c r="G135" s="131" t="s">
        <v>401</v>
      </c>
      <c r="H135" s="131" t="s">
        <v>120</v>
      </c>
      <c r="I135" s="131" t="s">
        <v>120</v>
      </c>
      <c r="J135" s="131" t="s">
        <v>436</v>
      </c>
      <c r="K135" s="131" t="s">
        <v>385</v>
      </c>
      <c r="L135" s="177">
        <v>2</v>
      </c>
      <c r="M135" s="131" t="str">
        <f>_xlfn.XLOOKUP(L135,[1]Auslegungsgrundlagen!$A$9:$A$100,[1]Auslegungsgrundlagen!$B$9:$B$100)</f>
        <v>Einzel-/Zweierbüros</v>
      </c>
      <c r="N135" s="132">
        <v>9</v>
      </c>
      <c r="O135" s="132">
        <v>25.92</v>
      </c>
      <c r="P135" s="133">
        <v>0</v>
      </c>
      <c r="Q135" s="134"/>
      <c r="R135" s="135">
        <f>_xlfn.XLOOKUP(L135,[1]Auslegungsgrundlagen!$A$9:$A$100,[1]Auslegungsgrundlagen!$M$9:$M$100)</f>
        <v>50</v>
      </c>
      <c r="S135" s="136">
        <f>_xlfn.XLOOKUP(L135,[1]Auslegungsgrundlagen!$A$9:$A$100,[1]Auslegungsgrundlagen!$Q$9:$Q$100)*P135</f>
        <v>0</v>
      </c>
      <c r="T135" s="137">
        <v>0</v>
      </c>
      <c r="U135" s="137">
        <v>0</v>
      </c>
      <c r="V135" s="138">
        <v>0</v>
      </c>
      <c r="W135" s="139">
        <f t="shared" si="66"/>
        <v>0.45</v>
      </c>
      <c r="X135" s="140" t="s">
        <v>481</v>
      </c>
      <c r="Y135" s="137">
        <f t="shared" si="83"/>
        <v>450</v>
      </c>
      <c r="Z135" s="141">
        <v>1</v>
      </c>
      <c r="AA135" s="142">
        <f t="shared" si="67"/>
        <v>0.45</v>
      </c>
      <c r="AB135" s="140" t="s">
        <v>120</v>
      </c>
      <c r="AC135" s="143" t="s">
        <v>120</v>
      </c>
      <c r="AD135" s="144">
        <v>0</v>
      </c>
      <c r="AE135" s="145">
        <f t="shared" si="68"/>
        <v>0</v>
      </c>
      <c r="AF135" s="146"/>
      <c r="AG135" s="140" t="s">
        <v>120</v>
      </c>
      <c r="AH135" s="143" t="s">
        <v>120</v>
      </c>
      <c r="AI135" s="144">
        <v>0</v>
      </c>
      <c r="AJ135" s="145">
        <f t="shared" si="69"/>
        <v>0</v>
      </c>
      <c r="AK135" s="146"/>
      <c r="AL135" s="147">
        <f t="shared" si="70"/>
        <v>0.45</v>
      </c>
      <c r="AM135" s="140" t="s">
        <v>120</v>
      </c>
      <c r="AN135" s="143" t="s">
        <v>120</v>
      </c>
      <c r="AO135" s="144">
        <v>0</v>
      </c>
      <c r="AP135" s="148">
        <v>0</v>
      </c>
      <c r="AQ135" s="142">
        <f t="shared" si="71"/>
        <v>0</v>
      </c>
      <c r="AR135" s="140" t="s">
        <v>120</v>
      </c>
      <c r="AS135" s="143" t="s">
        <v>120</v>
      </c>
      <c r="AT135" s="144">
        <v>0</v>
      </c>
      <c r="AU135" s="149">
        <v>0</v>
      </c>
      <c r="AV135" s="145">
        <f t="shared" si="72"/>
        <v>0</v>
      </c>
      <c r="AW135" s="146"/>
      <c r="AX135" s="140" t="s">
        <v>120</v>
      </c>
      <c r="AY135" s="143" t="s">
        <v>120</v>
      </c>
      <c r="AZ135" s="144">
        <v>0</v>
      </c>
      <c r="BA135" s="149">
        <v>0</v>
      </c>
      <c r="BB135" s="145">
        <f t="shared" si="73"/>
        <v>0</v>
      </c>
      <c r="BC135" s="150"/>
      <c r="BD135" s="151">
        <f t="shared" si="74"/>
        <v>0</v>
      </c>
      <c r="BE135" s="152">
        <f t="shared" si="75"/>
        <v>0.45</v>
      </c>
      <c r="BF135" s="140" t="s">
        <v>120</v>
      </c>
      <c r="BG135" s="153" t="s">
        <v>120</v>
      </c>
      <c r="BH135" s="154" t="s">
        <v>120</v>
      </c>
      <c r="BI135" s="155" t="s">
        <v>120</v>
      </c>
      <c r="BJ135" s="156" t="s">
        <v>120</v>
      </c>
      <c r="BK135" s="157"/>
      <c r="BL135" s="158">
        <f>_xlfn.XLOOKUP(L135,[1]Auslegungsgrundlagen!$A$9:$A$100,[1]Auslegungsgrundlagen!$U$9:$U$100)</f>
        <v>40</v>
      </c>
      <c r="BM135" s="137">
        <v>0</v>
      </c>
      <c r="BN135" s="159">
        <v>0</v>
      </c>
      <c r="BO135" s="152">
        <f t="shared" si="76"/>
        <v>0.36</v>
      </c>
      <c r="BP135" s="140" t="s">
        <v>481</v>
      </c>
      <c r="BQ135" s="143">
        <f t="shared" si="84"/>
        <v>360</v>
      </c>
      <c r="BR135" s="160">
        <v>1</v>
      </c>
      <c r="BS135" s="142">
        <f t="shared" si="77"/>
        <v>0.36</v>
      </c>
      <c r="BT135" s="140" t="s">
        <v>120</v>
      </c>
      <c r="BU135" s="143" t="s">
        <v>120</v>
      </c>
      <c r="BV135" s="160">
        <v>0</v>
      </c>
      <c r="BW135" s="145">
        <f t="shared" si="78"/>
        <v>0</v>
      </c>
      <c r="BX135" s="146"/>
      <c r="BY135" s="140" t="s">
        <v>120</v>
      </c>
      <c r="BZ135" s="143" t="s">
        <v>120</v>
      </c>
      <c r="CA135" s="160">
        <v>0</v>
      </c>
      <c r="CB135" s="145">
        <f t="shared" si="79"/>
        <v>0</v>
      </c>
      <c r="CC135" s="146"/>
      <c r="CD135" s="151">
        <f t="shared" si="80"/>
        <v>0.36</v>
      </c>
      <c r="CE135" s="161" t="s">
        <v>120</v>
      </c>
      <c r="CF135" s="162" t="s">
        <v>120</v>
      </c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</row>
    <row r="136" spans="1:256" ht="12.3">
      <c r="A136" s="128" t="s">
        <v>413</v>
      </c>
      <c r="B136" s="129">
        <v>3250</v>
      </c>
      <c r="C136" s="129">
        <v>11748</v>
      </c>
      <c r="D136" s="129"/>
      <c r="E136" s="129"/>
      <c r="F136" s="130"/>
      <c r="G136" s="131" t="s">
        <v>401</v>
      </c>
      <c r="H136" s="131" t="s">
        <v>120</v>
      </c>
      <c r="I136" s="131" t="s">
        <v>120</v>
      </c>
      <c r="J136" s="131" t="s">
        <v>414</v>
      </c>
      <c r="K136" s="131" t="s">
        <v>168</v>
      </c>
      <c r="L136" s="177">
        <v>18</v>
      </c>
      <c r="M136" s="131" t="str">
        <f>_xlfn.XLOOKUP(L136,[1]Auslegungsgrundlagen!$A$9:$A$100,[1]Auslegungsgrundlagen!$B$9:$B$100)</f>
        <v>Schächte</v>
      </c>
      <c r="N136" s="132">
        <v>8</v>
      </c>
      <c r="O136" s="132">
        <v>23.24</v>
      </c>
      <c r="P136" s="133">
        <v>0</v>
      </c>
      <c r="Q136" s="134"/>
      <c r="R136" s="135">
        <f>_xlfn.XLOOKUP(L136,[1]Auslegungsgrundlagen!$A$9:$A$100,[1]Auslegungsgrundlagen!$M$9:$M$100)</f>
        <v>0</v>
      </c>
      <c r="S136" s="136">
        <f>_xlfn.XLOOKUP(L136,[1]Auslegungsgrundlagen!$A$9:$A$100,[1]Auslegungsgrundlagen!$Q$9:$Q$100)*P136</f>
        <v>0</v>
      </c>
      <c r="T136" s="137">
        <v>0</v>
      </c>
      <c r="U136" s="137">
        <v>0</v>
      </c>
      <c r="V136" s="138">
        <v>0</v>
      </c>
      <c r="W136" s="139">
        <f t="shared" si="66"/>
        <v>0</v>
      </c>
      <c r="X136" s="140" t="s">
        <v>120</v>
      </c>
      <c r="Y136" s="137" t="s">
        <v>120</v>
      </c>
      <c r="Z136" s="141">
        <v>0</v>
      </c>
      <c r="AA136" s="142">
        <f t="shared" si="67"/>
        <v>0</v>
      </c>
      <c r="AB136" s="140" t="s">
        <v>120</v>
      </c>
      <c r="AC136" s="143" t="s">
        <v>120</v>
      </c>
      <c r="AD136" s="144">
        <v>0</v>
      </c>
      <c r="AE136" s="145">
        <f t="shared" si="68"/>
        <v>0</v>
      </c>
      <c r="AF136" s="146"/>
      <c r="AG136" s="140" t="s">
        <v>120</v>
      </c>
      <c r="AH136" s="143" t="s">
        <v>120</v>
      </c>
      <c r="AI136" s="144">
        <v>0</v>
      </c>
      <c r="AJ136" s="145">
        <f t="shared" si="69"/>
        <v>0</v>
      </c>
      <c r="AK136" s="146"/>
      <c r="AL136" s="147">
        <f t="shared" si="70"/>
        <v>0</v>
      </c>
      <c r="AM136" s="140" t="s">
        <v>120</v>
      </c>
      <c r="AN136" s="143" t="s">
        <v>120</v>
      </c>
      <c r="AO136" s="144">
        <v>0</v>
      </c>
      <c r="AP136" s="148">
        <v>0</v>
      </c>
      <c r="AQ136" s="142">
        <f t="shared" si="71"/>
        <v>0</v>
      </c>
      <c r="AR136" s="140" t="s">
        <v>120</v>
      </c>
      <c r="AS136" s="143" t="s">
        <v>120</v>
      </c>
      <c r="AT136" s="144">
        <v>0</v>
      </c>
      <c r="AU136" s="149">
        <v>0</v>
      </c>
      <c r="AV136" s="145">
        <f t="shared" si="72"/>
        <v>0</v>
      </c>
      <c r="AW136" s="146"/>
      <c r="AX136" s="140" t="s">
        <v>120</v>
      </c>
      <c r="AY136" s="143" t="s">
        <v>120</v>
      </c>
      <c r="AZ136" s="144">
        <v>0</v>
      </c>
      <c r="BA136" s="149">
        <v>0</v>
      </c>
      <c r="BB136" s="145">
        <f t="shared" si="73"/>
        <v>0</v>
      </c>
      <c r="BC136" s="150"/>
      <c r="BD136" s="151">
        <f t="shared" si="74"/>
        <v>0</v>
      </c>
      <c r="BE136" s="152">
        <f t="shared" si="75"/>
        <v>0</v>
      </c>
      <c r="BF136" s="140" t="s">
        <v>120</v>
      </c>
      <c r="BG136" s="153" t="s">
        <v>120</v>
      </c>
      <c r="BH136" s="154" t="s">
        <v>120</v>
      </c>
      <c r="BI136" s="155" t="s">
        <v>120</v>
      </c>
      <c r="BJ136" s="156" t="s">
        <v>120</v>
      </c>
      <c r="BK136" s="157"/>
      <c r="BL136" s="158">
        <f>_xlfn.XLOOKUP(L136,[1]Auslegungsgrundlagen!$A$9:$A$100,[1]Auslegungsgrundlagen!$U$9:$U$100)</f>
        <v>0</v>
      </c>
      <c r="BM136" s="137">
        <v>0</v>
      </c>
      <c r="BN136" s="159">
        <v>0</v>
      </c>
      <c r="BO136" s="152">
        <f t="shared" si="76"/>
        <v>0</v>
      </c>
      <c r="BP136" s="140" t="s">
        <v>120</v>
      </c>
      <c r="BQ136" s="143" t="s">
        <v>120</v>
      </c>
      <c r="BR136" s="160">
        <v>0</v>
      </c>
      <c r="BS136" s="142">
        <f t="shared" si="77"/>
        <v>0</v>
      </c>
      <c r="BT136" s="140" t="s">
        <v>120</v>
      </c>
      <c r="BU136" s="143" t="s">
        <v>120</v>
      </c>
      <c r="BV136" s="160">
        <v>0</v>
      </c>
      <c r="BW136" s="145">
        <f t="shared" si="78"/>
        <v>0</v>
      </c>
      <c r="BX136" s="146"/>
      <c r="BY136" s="140" t="s">
        <v>120</v>
      </c>
      <c r="BZ136" s="143" t="s">
        <v>120</v>
      </c>
      <c r="CA136" s="160">
        <v>0</v>
      </c>
      <c r="CB136" s="145">
        <f t="shared" si="79"/>
        <v>0</v>
      </c>
      <c r="CC136" s="146"/>
      <c r="CD136" s="151">
        <f t="shared" si="80"/>
        <v>0</v>
      </c>
      <c r="CE136" s="161" t="s">
        <v>120</v>
      </c>
      <c r="CF136" s="162" t="s">
        <v>120</v>
      </c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</row>
    <row r="137" spans="1:256" ht="12.3">
      <c r="A137" s="128" t="s">
        <v>415</v>
      </c>
      <c r="B137" s="129">
        <v>3250</v>
      </c>
      <c r="C137" s="129">
        <v>11748</v>
      </c>
      <c r="D137" s="129"/>
      <c r="E137" s="129"/>
      <c r="F137" s="130"/>
      <c r="G137" s="131" t="s">
        <v>401</v>
      </c>
      <c r="H137" s="131" t="s">
        <v>120</v>
      </c>
      <c r="I137" s="131" t="s">
        <v>120</v>
      </c>
      <c r="J137" s="131" t="s">
        <v>416</v>
      </c>
      <c r="K137" s="131" t="s">
        <v>483</v>
      </c>
      <c r="L137" s="177">
        <v>13</v>
      </c>
      <c r="M137" s="131" t="str">
        <f>_xlfn.XLOOKUP(L137,[1]Auslegungsgrundlagen!$A$9:$A$100,[1]Auslegungsgrundlagen!$B$9:$B$100)</f>
        <v>Etagenverteiler</v>
      </c>
      <c r="N137" s="132">
        <v>8</v>
      </c>
      <c r="O137" s="132">
        <v>23.24</v>
      </c>
      <c r="P137" s="133">
        <v>0</v>
      </c>
      <c r="Q137" s="134"/>
      <c r="R137" s="135">
        <f>_xlfn.XLOOKUP(L137,[1]Auslegungsgrundlagen!$A$9:$A$100,[1]Auslegungsgrundlagen!$M$9:$M$100)</f>
        <v>0</v>
      </c>
      <c r="S137" s="136">
        <f>_xlfn.XLOOKUP(L137,[1]Auslegungsgrundlagen!$A$9:$A$100,[1]Auslegungsgrundlagen!$Q$9:$Q$100)*P137</f>
        <v>0</v>
      </c>
      <c r="T137" s="137">
        <v>3500</v>
      </c>
      <c r="U137" s="137">
        <v>0</v>
      </c>
      <c r="V137" s="138">
        <v>0</v>
      </c>
      <c r="W137" s="139">
        <f t="shared" si="66"/>
        <v>3.5</v>
      </c>
      <c r="X137" s="140" t="s">
        <v>11</v>
      </c>
      <c r="Y137" s="137">
        <f>W137*1000</f>
        <v>3500</v>
      </c>
      <c r="Z137" s="141">
        <v>1</v>
      </c>
      <c r="AA137" s="142">
        <f t="shared" si="67"/>
        <v>3.5</v>
      </c>
      <c r="AB137" s="140" t="s">
        <v>120</v>
      </c>
      <c r="AC137" s="143" t="s">
        <v>120</v>
      </c>
      <c r="AD137" s="144">
        <v>0</v>
      </c>
      <c r="AE137" s="145">
        <f t="shared" si="68"/>
        <v>0</v>
      </c>
      <c r="AF137" s="146"/>
      <c r="AG137" s="140" t="s">
        <v>120</v>
      </c>
      <c r="AH137" s="143" t="s">
        <v>120</v>
      </c>
      <c r="AI137" s="144">
        <v>0</v>
      </c>
      <c r="AJ137" s="145">
        <f t="shared" si="69"/>
        <v>0</v>
      </c>
      <c r="AK137" s="146"/>
      <c r="AL137" s="147">
        <f t="shared" si="70"/>
        <v>3.5</v>
      </c>
      <c r="AM137" s="140" t="s">
        <v>120</v>
      </c>
      <c r="AN137" s="143" t="s">
        <v>120</v>
      </c>
      <c r="AO137" s="144">
        <v>0</v>
      </c>
      <c r="AP137" s="148">
        <v>0</v>
      </c>
      <c r="AQ137" s="142">
        <f t="shared" si="71"/>
        <v>0</v>
      </c>
      <c r="AR137" s="140" t="s">
        <v>120</v>
      </c>
      <c r="AS137" s="143" t="s">
        <v>120</v>
      </c>
      <c r="AT137" s="144">
        <v>0</v>
      </c>
      <c r="AU137" s="149">
        <v>0</v>
      </c>
      <c r="AV137" s="145">
        <f t="shared" si="72"/>
        <v>0</v>
      </c>
      <c r="AW137" s="146"/>
      <c r="AX137" s="140" t="s">
        <v>120</v>
      </c>
      <c r="AY137" s="143" t="s">
        <v>120</v>
      </c>
      <c r="AZ137" s="144">
        <v>0</v>
      </c>
      <c r="BA137" s="149">
        <v>0</v>
      </c>
      <c r="BB137" s="145">
        <f t="shared" si="73"/>
        <v>0</v>
      </c>
      <c r="BC137" s="150"/>
      <c r="BD137" s="151">
        <f t="shared" si="74"/>
        <v>0</v>
      </c>
      <c r="BE137" s="152">
        <f t="shared" si="75"/>
        <v>3.5</v>
      </c>
      <c r="BF137" s="140" t="s">
        <v>120</v>
      </c>
      <c r="BG137" s="153" t="s">
        <v>120</v>
      </c>
      <c r="BH137" s="154" t="s">
        <v>120</v>
      </c>
      <c r="BI137" s="155" t="s">
        <v>120</v>
      </c>
      <c r="BJ137" s="156" t="s">
        <v>120</v>
      </c>
      <c r="BK137" s="157"/>
      <c r="BL137" s="158">
        <f>_xlfn.XLOOKUP(L137,[1]Auslegungsgrundlagen!$A$9:$A$100,[1]Auslegungsgrundlagen!$U$9:$U$100)</f>
        <v>0</v>
      </c>
      <c r="BM137" s="137">
        <v>0</v>
      </c>
      <c r="BN137" s="159">
        <v>0</v>
      </c>
      <c r="BO137" s="152">
        <f t="shared" si="76"/>
        <v>0</v>
      </c>
      <c r="BP137" s="140" t="s">
        <v>120</v>
      </c>
      <c r="BQ137" s="143" t="s">
        <v>120</v>
      </c>
      <c r="BR137" s="160">
        <v>0</v>
      </c>
      <c r="BS137" s="142">
        <f t="shared" si="77"/>
        <v>0</v>
      </c>
      <c r="BT137" s="140" t="s">
        <v>120</v>
      </c>
      <c r="BU137" s="143" t="s">
        <v>120</v>
      </c>
      <c r="BV137" s="160">
        <v>0</v>
      </c>
      <c r="BW137" s="145">
        <f t="shared" si="78"/>
        <v>0</v>
      </c>
      <c r="BX137" s="146"/>
      <c r="BY137" s="140" t="s">
        <v>120</v>
      </c>
      <c r="BZ137" s="143" t="s">
        <v>120</v>
      </c>
      <c r="CA137" s="160">
        <v>0</v>
      </c>
      <c r="CB137" s="145">
        <f t="shared" si="79"/>
        <v>0</v>
      </c>
      <c r="CC137" s="146"/>
      <c r="CD137" s="151">
        <f t="shared" si="80"/>
        <v>0</v>
      </c>
      <c r="CE137" s="161" t="s">
        <v>120</v>
      </c>
      <c r="CF137" s="162" t="s">
        <v>120</v>
      </c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</row>
    <row r="138" spans="1:256" ht="12.3">
      <c r="A138" s="128" t="s">
        <v>439</v>
      </c>
      <c r="B138" s="129">
        <v>3250</v>
      </c>
      <c r="C138" s="129">
        <v>62790</v>
      </c>
      <c r="D138" s="129"/>
      <c r="E138" s="129"/>
      <c r="F138" s="130"/>
      <c r="G138" s="131" t="s">
        <v>401</v>
      </c>
      <c r="H138" s="131" t="s">
        <v>120</v>
      </c>
      <c r="I138" s="131" t="s">
        <v>120</v>
      </c>
      <c r="J138" s="131" t="s">
        <v>440</v>
      </c>
      <c r="K138" s="131" t="s">
        <v>156</v>
      </c>
      <c r="L138" s="177">
        <v>6</v>
      </c>
      <c r="M138" s="131" t="str">
        <f>_xlfn.XLOOKUP(L138,[1]Auslegungsgrundlagen!$A$9:$A$100,[1]Auslegungsgrundlagen!$B$9:$B$100)</f>
        <v>Verkehrsflächen, Flure</v>
      </c>
      <c r="N138" s="132">
        <v>70</v>
      </c>
      <c r="O138" s="132">
        <v>210.4</v>
      </c>
      <c r="P138" s="133">
        <v>0</v>
      </c>
      <c r="Q138" s="134"/>
      <c r="R138" s="135">
        <f>_xlfn.XLOOKUP(L138,[1]Auslegungsgrundlagen!$A$9:$A$100,[1]Auslegungsgrundlagen!$M$9:$M$100)</f>
        <v>0</v>
      </c>
      <c r="S138" s="136">
        <f>_xlfn.XLOOKUP(L138,[1]Auslegungsgrundlagen!$A$9:$A$100,[1]Auslegungsgrundlagen!$Q$9:$Q$100)*P138</f>
        <v>0</v>
      </c>
      <c r="T138" s="137">
        <v>0</v>
      </c>
      <c r="U138" s="137">
        <v>0</v>
      </c>
      <c r="V138" s="138">
        <v>0</v>
      </c>
      <c r="W138" s="139">
        <f t="shared" si="66"/>
        <v>0</v>
      </c>
      <c r="X138" s="140" t="s">
        <v>120</v>
      </c>
      <c r="Y138" s="137" t="s">
        <v>120</v>
      </c>
      <c r="Z138" s="141">
        <v>0</v>
      </c>
      <c r="AA138" s="142">
        <f t="shared" si="67"/>
        <v>0</v>
      </c>
      <c r="AB138" s="140" t="s">
        <v>120</v>
      </c>
      <c r="AC138" s="143" t="s">
        <v>120</v>
      </c>
      <c r="AD138" s="144">
        <v>0</v>
      </c>
      <c r="AE138" s="145">
        <f t="shared" si="68"/>
        <v>0</v>
      </c>
      <c r="AF138" s="146"/>
      <c r="AG138" s="140" t="s">
        <v>120</v>
      </c>
      <c r="AH138" s="143" t="s">
        <v>120</v>
      </c>
      <c r="AI138" s="144">
        <v>0</v>
      </c>
      <c r="AJ138" s="145">
        <f t="shared" si="69"/>
        <v>0</v>
      </c>
      <c r="AK138" s="146"/>
      <c r="AL138" s="147">
        <f t="shared" si="70"/>
        <v>0</v>
      </c>
      <c r="AM138" s="140" t="s">
        <v>120</v>
      </c>
      <c r="AN138" s="143" t="s">
        <v>120</v>
      </c>
      <c r="AO138" s="144">
        <v>0</v>
      </c>
      <c r="AP138" s="148">
        <v>0</v>
      </c>
      <c r="AQ138" s="142">
        <f t="shared" si="71"/>
        <v>0</v>
      </c>
      <c r="AR138" s="140" t="s">
        <v>120</v>
      </c>
      <c r="AS138" s="143" t="s">
        <v>120</v>
      </c>
      <c r="AT138" s="144">
        <v>0</v>
      </c>
      <c r="AU138" s="149">
        <v>0</v>
      </c>
      <c r="AV138" s="145">
        <f t="shared" si="72"/>
        <v>0</v>
      </c>
      <c r="AW138" s="146"/>
      <c r="AX138" s="140" t="s">
        <v>120</v>
      </c>
      <c r="AY138" s="143" t="s">
        <v>120</v>
      </c>
      <c r="AZ138" s="144">
        <v>0</v>
      </c>
      <c r="BA138" s="149">
        <v>0</v>
      </c>
      <c r="BB138" s="145">
        <f t="shared" si="73"/>
        <v>0</v>
      </c>
      <c r="BC138" s="150"/>
      <c r="BD138" s="151">
        <f t="shared" si="74"/>
        <v>0</v>
      </c>
      <c r="BE138" s="152">
        <f t="shared" si="75"/>
        <v>0</v>
      </c>
      <c r="BF138" s="140" t="s">
        <v>120</v>
      </c>
      <c r="BG138" s="153" t="s">
        <v>120</v>
      </c>
      <c r="BH138" s="154" t="s">
        <v>120</v>
      </c>
      <c r="BI138" s="155" t="s">
        <v>120</v>
      </c>
      <c r="BJ138" s="156" t="s">
        <v>120</v>
      </c>
      <c r="BK138" s="157"/>
      <c r="BL138" s="158">
        <f>_xlfn.XLOOKUP(L138,[1]Auslegungsgrundlagen!$A$9:$A$100,[1]Auslegungsgrundlagen!$U$9:$U$100)</f>
        <v>0</v>
      </c>
      <c r="BM138" s="137">
        <v>0</v>
      </c>
      <c r="BN138" s="159">
        <v>0</v>
      </c>
      <c r="BO138" s="152">
        <f t="shared" si="76"/>
        <v>0</v>
      </c>
      <c r="BP138" s="140" t="s">
        <v>120</v>
      </c>
      <c r="BQ138" s="143" t="s">
        <v>120</v>
      </c>
      <c r="BR138" s="160">
        <v>0</v>
      </c>
      <c r="BS138" s="142">
        <f t="shared" si="77"/>
        <v>0</v>
      </c>
      <c r="BT138" s="140" t="s">
        <v>120</v>
      </c>
      <c r="BU138" s="143" t="s">
        <v>120</v>
      </c>
      <c r="BV138" s="160">
        <v>0</v>
      </c>
      <c r="BW138" s="145">
        <f t="shared" si="78"/>
        <v>0</v>
      </c>
      <c r="BX138" s="146"/>
      <c r="BY138" s="140" t="s">
        <v>120</v>
      </c>
      <c r="BZ138" s="143" t="s">
        <v>120</v>
      </c>
      <c r="CA138" s="160">
        <v>0</v>
      </c>
      <c r="CB138" s="145">
        <f t="shared" si="79"/>
        <v>0</v>
      </c>
      <c r="CC138" s="146"/>
      <c r="CD138" s="151">
        <f t="shared" si="80"/>
        <v>0</v>
      </c>
      <c r="CE138" s="161" t="s">
        <v>120</v>
      </c>
      <c r="CF138" s="162" t="s">
        <v>120</v>
      </c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</row>
    <row r="139" spans="1:256" ht="12.3">
      <c r="A139" s="128" t="s">
        <v>475</v>
      </c>
      <c r="B139" s="129">
        <v>3250</v>
      </c>
      <c r="C139" s="129">
        <v>21840</v>
      </c>
      <c r="D139" s="129"/>
      <c r="E139" s="129"/>
      <c r="F139" s="130"/>
      <c r="G139" s="131" t="s">
        <v>401</v>
      </c>
      <c r="H139" s="131" t="s">
        <v>120</v>
      </c>
      <c r="I139" s="131" t="s">
        <v>120</v>
      </c>
      <c r="J139" s="131" t="s">
        <v>476</v>
      </c>
      <c r="K139" s="131" t="s">
        <v>251</v>
      </c>
      <c r="L139" s="177">
        <v>1</v>
      </c>
      <c r="M139" s="131" t="str">
        <f>_xlfn.XLOOKUP(L139,[1]Auslegungsgrundlagen!$A$9:$A$100,[1]Auslegungsgrundlagen!$B$9:$B$100)</f>
        <v>Flex-/ Co-Work/</v>
      </c>
      <c r="N139" s="132">
        <v>29</v>
      </c>
      <c r="O139" s="132">
        <v>85.84</v>
      </c>
      <c r="P139" s="133">
        <v>0</v>
      </c>
      <c r="Q139" s="134"/>
      <c r="R139" s="135">
        <f>_xlfn.XLOOKUP(L139,[1]Auslegungsgrundlagen!$A$9:$A$100,[1]Auslegungsgrundlagen!$M$9:$M$100)</f>
        <v>50</v>
      </c>
      <c r="S139" s="136">
        <f>_xlfn.XLOOKUP(L139,[1]Auslegungsgrundlagen!$A$9:$A$100,[1]Auslegungsgrundlagen!$Q$9:$Q$100)*P139</f>
        <v>0</v>
      </c>
      <c r="T139" s="137">
        <v>0</v>
      </c>
      <c r="U139" s="137">
        <v>0</v>
      </c>
      <c r="V139" s="138">
        <v>0</v>
      </c>
      <c r="W139" s="139">
        <f t="shared" ref="W139:W165" si="85">ROUND(IF(V139&lt;0,V139*(-1)/1000,IF(U139&lt;&gt;0,U139/1000,(R139*N139+S139+T139)/1000)),2)</f>
        <v>1.45</v>
      </c>
      <c r="X139" s="140" t="s">
        <v>481</v>
      </c>
      <c r="Y139" s="137">
        <f>W139*1000</f>
        <v>1450</v>
      </c>
      <c r="Z139" s="141">
        <v>1</v>
      </c>
      <c r="AA139" s="142">
        <f t="shared" ref="AA139:AA165" si="86">(IF(Y139="",0,Y139)*IF(Z139="",0,Z139))/1000</f>
        <v>1.45</v>
      </c>
      <c r="AB139" s="140" t="s">
        <v>120</v>
      </c>
      <c r="AC139" s="143" t="s">
        <v>120</v>
      </c>
      <c r="AD139" s="144">
        <v>0</v>
      </c>
      <c r="AE139" s="145">
        <f t="shared" ref="AE139:AE165" si="87">(IF(AC139="",0,AC139)*IF(AD139="",0,AD139))/1000</f>
        <v>0</v>
      </c>
      <c r="AF139" s="146"/>
      <c r="AG139" s="140" t="s">
        <v>120</v>
      </c>
      <c r="AH139" s="143" t="s">
        <v>120</v>
      </c>
      <c r="AI139" s="144">
        <v>0</v>
      </c>
      <c r="AJ139" s="145">
        <f t="shared" ref="AJ139:AJ165" si="88">(IF(AH139="",0,AH139)*IF(AI139="",0,AI139))/1000</f>
        <v>0</v>
      </c>
      <c r="AK139" s="146"/>
      <c r="AL139" s="147">
        <f t="shared" ref="AL139:AL165" si="89">IF(AA139="",0,AA139)+IF(AE139="",0,AE139)+IF(AJ139="",0,AJ139)</f>
        <v>1.45</v>
      </c>
      <c r="AM139" s="140" t="s">
        <v>120</v>
      </c>
      <c r="AN139" s="143" t="s">
        <v>120</v>
      </c>
      <c r="AO139" s="144">
        <v>0</v>
      </c>
      <c r="AP139" s="148">
        <v>0</v>
      </c>
      <c r="AQ139" s="142">
        <f t="shared" ref="AQ139:AQ165" si="90">(IF(AN139="",0,AN139)*IF(AO139="",0,AO139)*IF(AP139="",0,AP139))/1000</f>
        <v>0</v>
      </c>
      <c r="AR139" s="140" t="s">
        <v>120</v>
      </c>
      <c r="AS139" s="143" t="s">
        <v>120</v>
      </c>
      <c r="AT139" s="144">
        <v>0</v>
      </c>
      <c r="AU139" s="149">
        <v>0</v>
      </c>
      <c r="AV139" s="145">
        <f t="shared" ref="AV139:AV165" si="91">(IF(AS139="",0,AS139)*IF(AT139="",0,AT139)*IF(AU139="",0,AU139))/1000</f>
        <v>0</v>
      </c>
      <c r="AW139" s="146"/>
      <c r="AX139" s="140" t="s">
        <v>120</v>
      </c>
      <c r="AY139" s="143" t="s">
        <v>120</v>
      </c>
      <c r="AZ139" s="144">
        <v>0</v>
      </c>
      <c r="BA139" s="149">
        <v>0</v>
      </c>
      <c r="BB139" s="145">
        <f t="shared" ref="BB139:BB165" si="92">(IF(AY139="",0,AY139)*IF(AZ139="",0,AZ139)*IF(BA139="",0,BA139))/1000</f>
        <v>0</v>
      </c>
      <c r="BC139" s="150"/>
      <c r="BD139" s="151">
        <f t="shared" ref="BD139:BD165" si="93">IF(AQ139="",0,AQ139)+IF(AV139="",0,AV139)+IF(BB139="",0,BB139)</f>
        <v>0</v>
      </c>
      <c r="BE139" s="152">
        <f t="shared" ref="BE139:BE165" si="94">(BD139+AL139)</f>
        <v>1.45</v>
      </c>
      <c r="BF139" s="140" t="s">
        <v>120</v>
      </c>
      <c r="BG139" s="153" t="s">
        <v>120</v>
      </c>
      <c r="BH139" s="154" t="s">
        <v>120</v>
      </c>
      <c r="BI139" s="155" t="s">
        <v>120</v>
      </c>
      <c r="BJ139" s="156" t="s">
        <v>120</v>
      </c>
      <c r="BK139" s="157"/>
      <c r="BL139" s="158">
        <f>_xlfn.XLOOKUP(L139,[1]Auslegungsgrundlagen!$A$9:$A$100,[1]Auslegungsgrundlagen!$U$9:$U$100)</f>
        <v>40</v>
      </c>
      <c r="BM139" s="137">
        <v>0</v>
      </c>
      <c r="BN139" s="159">
        <v>0</v>
      </c>
      <c r="BO139" s="152">
        <f t="shared" ref="BO139:BO165" si="95">ROUND(IF(BN139&gt;0,BN139/1000,IF(BM139&gt;0,BM139/1000,BL139*N139/1000)),2)</f>
        <v>1.1599999999999999</v>
      </c>
      <c r="BP139" s="140" t="s">
        <v>481</v>
      </c>
      <c r="BQ139" s="143">
        <f>BO139*1000</f>
        <v>1160</v>
      </c>
      <c r="BR139" s="160">
        <v>1</v>
      </c>
      <c r="BS139" s="142">
        <f t="shared" ref="BS139:BS165" si="96">(IF(BQ139="",0,BQ139)*IF(BR139="",0,BR139))/1000</f>
        <v>1.1599999999999999</v>
      </c>
      <c r="BT139" s="140" t="s">
        <v>120</v>
      </c>
      <c r="BU139" s="143" t="s">
        <v>120</v>
      </c>
      <c r="BV139" s="160">
        <v>0</v>
      </c>
      <c r="BW139" s="145">
        <f t="shared" ref="BW139:BW165" si="97">(IF(BU139="",0,BU139)*IF(BV139="",0,BV139))/1000</f>
        <v>0</v>
      </c>
      <c r="BX139" s="146"/>
      <c r="BY139" s="140" t="s">
        <v>120</v>
      </c>
      <c r="BZ139" s="143" t="s">
        <v>120</v>
      </c>
      <c r="CA139" s="160">
        <v>0</v>
      </c>
      <c r="CB139" s="145">
        <f t="shared" ref="CB139:CB165" si="98">(IF(BZ139="",0,BZ139)*IF(CA139="",0,CA139))/1000</f>
        <v>0</v>
      </c>
      <c r="CC139" s="146"/>
      <c r="CD139" s="151">
        <f t="shared" ref="CD139:CD165" si="99">IF(BS139="",0,BS139)+IF(BW139="",0,BW139)+IF(CB139="",0,CB139)</f>
        <v>1.1599999999999999</v>
      </c>
      <c r="CE139" s="161" t="s">
        <v>120</v>
      </c>
      <c r="CF139" s="162" t="s">
        <v>120</v>
      </c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</row>
    <row r="140" spans="1:256" ht="12.3">
      <c r="A140" s="128" t="s">
        <v>400</v>
      </c>
      <c r="B140" s="129">
        <v>3250</v>
      </c>
      <c r="C140" s="129">
        <v>41046</v>
      </c>
      <c r="D140" s="129"/>
      <c r="E140" s="129"/>
      <c r="F140" s="130"/>
      <c r="G140" s="131" t="s">
        <v>401</v>
      </c>
      <c r="H140" s="131" t="s">
        <v>120</v>
      </c>
      <c r="I140" s="131" t="s">
        <v>120</v>
      </c>
      <c r="J140" s="131" t="s">
        <v>402</v>
      </c>
      <c r="K140" s="131" t="s">
        <v>156</v>
      </c>
      <c r="L140" s="177">
        <v>17</v>
      </c>
      <c r="M140" s="131" t="str">
        <f>_xlfn.XLOOKUP(L140,[1]Auslegungsgrundlagen!$A$9:$A$100,[1]Auslegungsgrundlagen!$B$9:$B$100)</f>
        <v>Treppenhäuser/Magistrale</v>
      </c>
      <c r="N140" s="132">
        <v>57</v>
      </c>
      <c r="O140" s="132">
        <v>172.37</v>
      </c>
      <c r="P140" s="133">
        <v>0</v>
      </c>
      <c r="Q140" s="134"/>
      <c r="R140" s="135">
        <f>_xlfn.XLOOKUP(L140,[1]Auslegungsgrundlagen!$A$9:$A$100,[1]Auslegungsgrundlagen!$M$9:$M$100)</f>
        <v>0</v>
      </c>
      <c r="S140" s="136">
        <f>_xlfn.XLOOKUP(L140,[1]Auslegungsgrundlagen!$A$9:$A$100,[1]Auslegungsgrundlagen!$Q$9:$Q$100)*P140</f>
        <v>0</v>
      </c>
      <c r="T140" s="137">
        <v>0</v>
      </c>
      <c r="U140" s="137">
        <v>0</v>
      </c>
      <c r="V140" s="138">
        <v>0</v>
      </c>
      <c r="W140" s="139">
        <f t="shared" si="85"/>
        <v>0</v>
      </c>
      <c r="X140" s="140" t="s">
        <v>120</v>
      </c>
      <c r="Y140" s="137" t="s">
        <v>120</v>
      </c>
      <c r="Z140" s="141">
        <v>0</v>
      </c>
      <c r="AA140" s="142">
        <f t="shared" si="86"/>
        <v>0</v>
      </c>
      <c r="AB140" s="140" t="s">
        <v>120</v>
      </c>
      <c r="AC140" s="143" t="s">
        <v>120</v>
      </c>
      <c r="AD140" s="144">
        <v>0</v>
      </c>
      <c r="AE140" s="145">
        <f t="shared" si="87"/>
        <v>0</v>
      </c>
      <c r="AF140" s="146"/>
      <c r="AG140" s="140" t="s">
        <v>120</v>
      </c>
      <c r="AH140" s="143" t="s">
        <v>120</v>
      </c>
      <c r="AI140" s="144">
        <v>0</v>
      </c>
      <c r="AJ140" s="145">
        <f t="shared" si="88"/>
        <v>0</v>
      </c>
      <c r="AK140" s="146"/>
      <c r="AL140" s="147">
        <f t="shared" si="89"/>
        <v>0</v>
      </c>
      <c r="AM140" s="140" t="s">
        <v>120</v>
      </c>
      <c r="AN140" s="143" t="s">
        <v>120</v>
      </c>
      <c r="AO140" s="144">
        <v>0</v>
      </c>
      <c r="AP140" s="148">
        <v>0</v>
      </c>
      <c r="AQ140" s="142">
        <f t="shared" si="90"/>
        <v>0</v>
      </c>
      <c r="AR140" s="140" t="s">
        <v>120</v>
      </c>
      <c r="AS140" s="143" t="s">
        <v>120</v>
      </c>
      <c r="AT140" s="144">
        <v>0</v>
      </c>
      <c r="AU140" s="149">
        <v>0</v>
      </c>
      <c r="AV140" s="145">
        <f t="shared" si="91"/>
        <v>0</v>
      </c>
      <c r="AW140" s="146"/>
      <c r="AX140" s="140" t="s">
        <v>120</v>
      </c>
      <c r="AY140" s="143" t="s">
        <v>120</v>
      </c>
      <c r="AZ140" s="144">
        <v>0</v>
      </c>
      <c r="BA140" s="149">
        <v>0</v>
      </c>
      <c r="BB140" s="145">
        <f t="shared" si="92"/>
        <v>0</v>
      </c>
      <c r="BC140" s="150"/>
      <c r="BD140" s="151">
        <f t="shared" si="93"/>
        <v>0</v>
      </c>
      <c r="BE140" s="152">
        <f t="shared" si="94"/>
        <v>0</v>
      </c>
      <c r="BF140" s="140" t="s">
        <v>120</v>
      </c>
      <c r="BG140" s="153" t="s">
        <v>120</v>
      </c>
      <c r="BH140" s="154" t="s">
        <v>120</v>
      </c>
      <c r="BI140" s="155" t="s">
        <v>120</v>
      </c>
      <c r="BJ140" s="156" t="s">
        <v>120</v>
      </c>
      <c r="BK140" s="157"/>
      <c r="BL140" s="158">
        <f>_xlfn.XLOOKUP(L140,[1]Auslegungsgrundlagen!$A$9:$A$100,[1]Auslegungsgrundlagen!$U$9:$U$100)</f>
        <v>25</v>
      </c>
      <c r="BM140" s="137">
        <v>0</v>
      </c>
      <c r="BN140" s="159">
        <v>0</v>
      </c>
      <c r="BO140" s="152">
        <f t="shared" si="95"/>
        <v>1.43</v>
      </c>
      <c r="BP140" s="140" t="s">
        <v>12</v>
      </c>
      <c r="BQ140" s="143">
        <f t="shared" ref="BQ140" si="100">BO140*1000</f>
        <v>1430</v>
      </c>
      <c r="BR140" s="160">
        <v>1</v>
      </c>
      <c r="BS140" s="142">
        <f t="shared" si="96"/>
        <v>1.43</v>
      </c>
      <c r="BT140" s="140" t="s">
        <v>120</v>
      </c>
      <c r="BU140" s="143" t="s">
        <v>120</v>
      </c>
      <c r="BV140" s="160">
        <v>0</v>
      </c>
      <c r="BW140" s="145">
        <f t="shared" si="97"/>
        <v>0</v>
      </c>
      <c r="BX140" s="146"/>
      <c r="BY140" s="140" t="s">
        <v>120</v>
      </c>
      <c r="BZ140" s="143" t="s">
        <v>120</v>
      </c>
      <c r="CA140" s="160">
        <v>0</v>
      </c>
      <c r="CB140" s="145">
        <f t="shared" si="98"/>
        <v>0</v>
      </c>
      <c r="CC140" s="146"/>
      <c r="CD140" s="151">
        <f t="shared" si="99"/>
        <v>1.43</v>
      </c>
      <c r="CE140" s="161" t="s">
        <v>120</v>
      </c>
      <c r="CF140" s="162" t="s">
        <v>120</v>
      </c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</row>
    <row r="141" spans="1:256" ht="12.3">
      <c r="A141" s="128" t="s">
        <v>411</v>
      </c>
      <c r="B141" s="129">
        <v>3250</v>
      </c>
      <c r="C141" s="129">
        <v>12355</v>
      </c>
      <c r="D141" s="129"/>
      <c r="E141" s="129"/>
      <c r="F141" s="130"/>
      <c r="G141" s="131" t="s">
        <v>401</v>
      </c>
      <c r="H141" s="131" t="s">
        <v>120</v>
      </c>
      <c r="I141" s="131" t="s">
        <v>120</v>
      </c>
      <c r="J141" s="131" t="s">
        <v>412</v>
      </c>
      <c r="K141" s="131" t="s">
        <v>125</v>
      </c>
      <c r="L141" s="177">
        <v>11</v>
      </c>
      <c r="M141" s="131" t="str">
        <f>_xlfn.XLOOKUP(L141,[1]Auslegungsgrundlagen!$A$9:$A$100,[1]Auslegungsgrundlagen!$B$9:$B$100)</f>
        <v>Lager innenliegend</v>
      </c>
      <c r="N141" s="132">
        <v>10</v>
      </c>
      <c r="O141" s="132">
        <v>28.52</v>
      </c>
      <c r="P141" s="133">
        <v>0</v>
      </c>
      <c r="Q141" s="134"/>
      <c r="R141" s="135">
        <f>_xlfn.XLOOKUP(L141,[1]Auslegungsgrundlagen!$A$9:$A$100,[1]Auslegungsgrundlagen!$M$9:$M$100)</f>
        <v>0</v>
      </c>
      <c r="S141" s="136">
        <f>_xlfn.XLOOKUP(L141,[1]Auslegungsgrundlagen!$A$9:$A$100,[1]Auslegungsgrundlagen!$Q$9:$Q$100)*P141</f>
        <v>0</v>
      </c>
      <c r="T141" s="137">
        <v>0</v>
      </c>
      <c r="U141" s="137">
        <v>0</v>
      </c>
      <c r="V141" s="138">
        <v>0</v>
      </c>
      <c r="W141" s="139">
        <f t="shared" si="85"/>
        <v>0</v>
      </c>
      <c r="X141" s="140" t="s">
        <v>120</v>
      </c>
      <c r="Y141" s="137" t="s">
        <v>120</v>
      </c>
      <c r="Z141" s="141">
        <v>0</v>
      </c>
      <c r="AA141" s="142">
        <f t="shared" si="86"/>
        <v>0</v>
      </c>
      <c r="AB141" s="140" t="s">
        <v>120</v>
      </c>
      <c r="AC141" s="143" t="s">
        <v>120</v>
      </c>
      <c r="AD141" s="144">
        <v>0</v>
      </c>
      <c r="AE141" s="145">
        <f t="shared" si="87"/>
        <v>0</v>
      </c>
      <c r="AF141" s="146"/>
      <c r="AG141" s="140" t="s">
        <v>120</v>
      </c>
      <c r="AH141" s="143" t="s">
        <v>120</v>
      </c>
      <c r="AI141" s="144">
        <v>0</v>
      </c>
      <c r="AJ141" s="145">
        <f t="shared" si="88"/>
        <v>0</v>
      </c>
      <c r="AK141" s="146"/>
      <c r="AL141" s="147">
        <f t="shared" si="89"/>
        <v>0</v>
      </c>
      <c r="AM141" s="140" t="s">
        <v>120</v>
      </c>
      <c r="AN141" s="143" t="s">
        <v>120</v>
      </c>
      <c r="AO141" s="144">
        <v>0</v>
      </c>
      <c r="AP141" s="148">
        <v>0</v>
      </c>
      <c r="AQ141" s="142">
        <f t="shared" si="90"/>
        <v>0</v>
      </c>
      <c r="AR141" s="140" t="s">
        <v>120</v>
      </c>
      <c r="AS141" s="143" t="s">
        <v>120</v>
      </c>
      <c r="AT141" s="144">
        <v>0</v>
      </c>
      <c r="AU141" s="149">
        <v>0</v>
      </c>
      <c r="AV141" s="145">
        <f t="shared" si="91"/>
        <v>0</v>
      </c>
      <c r="AW141" s="146"/>
      <c r="AX141" s="140" t="s">
        <v>120</v>
      </c>
      <c r="AY141" s="143" t="s">
        <v>120</v>
      </c>
      <c r="AZ141" s="144">
        <v>0</v>
      </c>
      <c r="BA141" s="149">
        <v>0</v>
      </c>
      <c r="BB141" s="145">
        <f t="shared" si="92"/>
        <v>0</v>
      </c>
      <c r="BC141" s="150"/>
      <c r="BD141" s="151">
        <f t="shared" si="93"/>
        <v>0</v>
      </c>
      <c r="BE141" s="152">
        <f t="shared" si="94"/>
        <v>0</v>
      </c>
      <c r="BF141" s="140" t="s">
        <v>120</v>
      </c>
      <c r="BG141" s="153" t="s">
        <v>120</v>
      </c>
      <c r="BH141" s="154" t="s">
        <v>120</v>
      </c>
      <c r="BI141" s="155" t="s">
        <v>120</v>
      </c>
      <c r="BJ141" s="156" t="s">
        <v>120</v>
      </c>
      <c r="BK141" s="157"/>
      <c r="BL141" s="158">
        <f>_xlfn.XLOOKUP(L141,[1]Auslegungsgrundlagen!$A$9:$A$100,[1]Auslegungsgrundlagen!$U$9:$U$100)</f>
        <v>0</v>
      </c>
      <c r="BM141" s="137">
        <v>0</v>
      </c>
      <c r="BN141" s="159">
        <v>0</v>
      </c>
      <c r="BO141" s="152">
        <f t="shared" si="95"/>
        <v>0</v>
      </c>
      <c r="BP141" s="140" t="s">
        <v>120</v>
      </c>
      <c r="BQ141" s="143" t="s">
        <v>120</v>
      </c>
      <c r="BR141" s="160">
        <v>0</v>
      </c>
      <c r="BS141" s="142">
        <f t="shared" si="96"/>
        <v>0</v>
      </c>
      <c r="BT141" s="140" t="s">
        <v>120</v>
      </c>
      <c r="BU141" s="143" t="s">
        <v>120</v>
      </c>
      <c r="BV141" s="160">
        <v>0</v>
      </c>
      <c r="BW141" s="145">
        <f t="shared" si="97"/>
        <v>0</v>
      </c>
      <c r="BX141" s="146"/>
      <c r="BY141" s="140" t="s">
        <v>120</v>
      </c>
      <c r="BZ141" s="143" t="s">
        <v>120</v>
      </c>
      <c r="CA141" s="160">
        <v>0</v>
      </c>
      <c r="CB141" s="145">
        <f t="shared" si="98"/>
        <v>0</v>
      </c>
      <c r="CC141" s="146"/>
      <c r="CD141" s="151">
        <f t="shared" si="99"/>
        <v>0</v>
      </c>
      <c r="CE141" s="161" t="s">
        <v>120</v>
      </c>
      <c r="CF141" s="162" t="s">
        <v>120</v>
      </c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</row>
    <row r="142" spans="1:256" ht="12.3">
      <c r="A142" s="128" t="s">
        <v>405</v>
      </c>
      <c r="B142" s="129">
        <v>3250</v>
      </c>
      <c r="C142" s="129">
        <v>11815</v>
      </c>
      <c r="D142" s="129"/>
      <c r="E142" s="129"/>
      <c r="F142" s="130"/>
      <c r="G142" s="131" t="s">
        <v>401</v>
      </c>
      <c r="H142" s="131" t="s">
        <v>120</v>
      </c>
      <c r="I142" s="131" t="s">
        <v>120</v>
      </c>
      <c r="J142" s="131" t="s">
        <v>406</v>
      </c>
      <c r="K142" s="131" t="s">
        <v>122</v>
      </c>
      <c r="L142" s="177">
        <v>19</v>
      </c>
      <c r="M142" s="131" t="str">
        <f>_xlfn.XLOOKUP(L142,[1]Auslegungsgrundlagen!$A$9:$A$100,[1]Auslegungsgrundlagen!$B$9:$B$100)</f>
        <v>Aufzüge</v>
      </c>
      <c r="N142" s="132">
        <v>9</v>
      </c>
      <c r="O142" s="132">
        <v>26.17</v>
      </c>
      <c r="P142" s="133">
        <v>0</v>
      </c>
      <c r="Q142" s="134"/>
      <c r="R142" s="135">
        <f>_xlfn.XLOOKUP(L142,[1]Auslegungsgrundlagen!$A$9:$A$100,[1]Auslegungsgrundlagen!$M$9:$M$100)</f>
        <v>0</v>
      </c>
      <c r="S142" s="136">
        <f>_xlfn.XLOOKUP(L142,[1]Auslegungsgrundlagen!$A$9:$A$100,[1]Auslegungsgrundlagen!$Q$9:$Q$100)*P142</f>
        <v>0</v>
      </c>
      <c r="T142" s="137">
        <v>0</v>
      </c>
      <c r="U142" s="137">
        <v>0</v>
      </c>
      <c r="V142" s="138">
        <v>0</v>
      </c>
      <c r="W142" s="139">
        <f t="shared" si="85"/>
        <v>0</v>
      </c>
      <c r="X142" s="140" t="s">
        <v>120</v>
      </c>
      <c r="Y142" s="137" t="s">
        <v>120</v>
      </c>
      <c r="Z142" s="141">
        <v>0</v>
      </c>
      <c r="AA142" s="142">
        <f t="shared" si="86"/>
        <v>0</v>
      </c>
      <c r="AB142" s="140" t="s">
        <v>120</v>
      </c>
      <c r="AC142" s="143" t="s">
        <v>120</v>
      </c>
      <c r="AD142" s="144">
        <v>0</v>
      </c>
      <c r="AE142" s="145">
        <f t="shared" si="87"/>
        <v>0</v>
      </c>
      <c r="AF142" s="146"/>
      <c r="AG142" s="140" t="s">
        <v>120</v>
      </c>
      <c r="AH142" s="143" t="s">
        <v>120</v>
      </c>
      <c r="AI142" s="144">
        <v>0</v>
      </c>
      <c r="AJ142" s="145">
        <f t="shared" si="88"/>
        <v>0</v>
      </c>
      <c r="AK142" s="146"/>
      <c r="AL142" s="147">
        <f t="shared" si="89"/>
        <v>0</v>
      </c>
      <c r="AM142" s="140" t="s">
        <v>120</v>
      </c>
      <c r="AN142" s="143" t="s">
        <v>120</v>
      </c>
      <c r="AO142" s="144">
        <v>0</v>
      </c>
      <c r="AP142" s="148">
        <v>0</v>
      </c>
      <c r="AQ142" s="142">
        <f t="shared" si="90"/>
        <v>0</v>
      </c>
      <c r="AR142" s="140" t="s">
        <v>120</v>
      </c>
      <c r="AS142" s="143" t="s">
        <v>120</v>
      </c>
      <c r="AT142" s="144">
        <v>0</v>
      </c>
      <c r="AU142" s="149">
        <v>0</v>
      </c>
      <c r="AV142" s="145">
        <f t="shared" si="91"/>
        <v>0</v>
      </c>
      <c r="AW142" s="146"/>
      <c r="AX142" s="140" t="s">
        <v>120</v>
      </c>
      <c r="AY142" s="143" t="s">
        <v>120</v>
      </c>
      <c r="AZ142" s="144">
        <v>0</v>
      </c>
      <c r="BA142" s="149">
        <v>0</v>
      </c>
      <c r="BB142" s="145">
        <f t="shared" si="92"/>
        <v>0</v>
      </c>
      <c r="BC142" s="150"/>
      <c r="BD142" s="151">
        <f t="shared" si="93"/>
        <v>0</v>
      </c>
      <c r="BE142" s="152">
        <f t="shared" si="94"/>
        <v>0</v>
      </c>
      <c r="BF142" s="140" t="s">
        <v>120</v>
      </c>
      <c r="BG142" s="153" t="s">
        <v>120</v>
      </c>
      <c r="BH142" s="154" t="s">
        <v>120</v>
      </c>
      <c r="BI142" s="155" t="s">
        <v>120</v>
      </c>
      <c r="BJ142" s="156" t="s">
        <v>120</v>
      </c>
      <c r="BK142" s="157"/>
      <c r="BL142" s="158">
        <f>_xlfn.XLOOKUP(L142,[1]Auslegungsgrundlagen!$A$9:$A$100,[1]Auslegungsgrundlagen!$U$9:$U$100)</f>
        <v>0</v>
      </c>
      <c r="BM142" s="137">
        <v>0</v>
      </c>
      <c r="BN142" s="159">
        <v>0</v>
      </c>
      <c r="BO142" s="152">
        <f t="shared" si="95"/>
        <v>0</v>
      </c>
      <c r="BP142" s="140" t="s">
        <v>120</v>
      </c>
      <c r="BQ142" s="143" t="s">
        <v>120</v>
      </c>
      <c r="BR142" s="160">
        <v>0</v>
      </c>
      <c r="BS142" s="142">
        <f t="shared" si="96"/>
        <v>0</v>
      </c>
      <c r="BT142" s="140" t="s">
        <v>120</v>
      </c>
      <c r="BU142" s="143" t="s">
        <v>120</v>
      </c>
      <c r="BV142" s="160">
        <v>0</v>
      </c>
      <c r="BW142" s="145">
        <f t="shared" si="97"/>
        <v>0</v>
      </c>
      <c r="BX142" s="146"/>
      <c r="BY142" s="140" t="s">
        <v>120</v>
      </c>
      <c r="BZ142" s="143" t="s">
        <v>120</v>
      </c>
      <c r="CA142" s="160">
        <v>0</v>
      </c>
      <c r="CB142" s="145">
        <f t="shared" si="98"/>
        <v>0</v>
      </c>
      <c r="CC142" s="146"/>
      <c r="CD142" s="151">
        <f t="shared" si="99"/>
        <v>0</v>
      </c>
      <c r="CE142" s="161" t="s">
        <v>120</v>
      </c>
      <c r="CF142" s="162" t="s">
        <v>120</v>
      </c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</row>
    <row r="143" spans="1:256" ht="12.3">
      <c r="A143" s="128" t="s">
        <v>409</v>
      </c>
      <c r="B143" s="129">
        <v>3250</v>
      </c>
      <c r="C143" s="129">
        <v>7328</v>
      </c>
      <c r="D143" s="129"/>
      <c r="E143" s="129"/>
      <c r="F143" s="130"/>
      <c r="G143" s="131" t="s">
        <v>401</v>
      </c>
      <c r="H143" s="131" t="s">
        <v>120</v>
      </c>
      <c r="I143" s="131" t="s">
        <v>120</v>
      </c>
      <c r="J143" s="131" t="s">
        <v>410</v>
      </c>
      <c r="K143" s="131" t="s">
        <v>174</v>
      </c>
      <c r="L143" s="177">
        <v>8</v>
      </c>
      <c r="M143" s="131" t="str">
        <f>_xlfn.XLOOKUP(L143,[1]Auslegungsgrundlagen!$A$9:$A$100,[1]Auslegungsgrundlagen!$B$9:$B$100)</f>
        <v>WCs</v>
      </c>
      <c r="N143" s="132">
        <v>3</v>
      </c>
      <c r="O143" s="132">
        <v>10.050000000000001</v>
      </c>
      <c r="P143" s="133">
        <v>0</v>
      </c>
      <c r="Q143" s="134"/>
      <c r="R143" s="135">
        <f>_xlfn.XLOOKUP(L143,[1]Auslegungsgrundlagen!$A$9:$A$100,[1]Auslegungsgrundlagen!$M$9:$M$100)</f>
        <v>0</v>
      </c>
      <c r="S143" s="136">
        <f>_xlfn.XLOOKUP(L143,[1]Auslegungsgrundlagen!$A$9:$A$100,[1]Auslegungsgrundlagen!$Q$9:$Q$100)*P143</f>
        <v>0</v>
      </c>
      <c r="T143" s="137">
        <v>0</v>
      </c>
      <c r="U143" s="137">
        <v>0</v>
      </c>
      <c r="V143" s="138">
        <v>0</v>
      </c>
      <c r="W143" s="139">
        <f t="shared" si="85"/>
        <v>0</v>
      </c>
      <c r="X143" s="140" t="s">
        <v>120</v>
      </c>
      <c r="Y143" s="137" t="s">
        <v>120</v>
      </c>
      <c r="Z143" s="141">
        <v>0</v>
      </c>
      <c r="AA143" s="142">
        <f t="shared" si="86"/>
        <v>0</v>
      </c>
      <c r="AB143" s="140" t="s">
        <v>120</v>
      </c>
      <c r="AC143" s="143" t="s">
        <v>120</v>
      </c>
      <c r="AD143" s="144">
        <v>0</v>
      </c>
      <c r="AE143" s="145">
        <f t="shared" si="87"/>
        <v>0</v>
      </c>
      <c r="AF143" s="146"/>
      <c r="AG143" s="140" t="s">
        <v>120</v>
      </c>
      <c r="AH143" s="143" t="s">
        <v>120</v>
      </c>
      <c r="AI143" s="144">
        <v>0</v>
      </c>
      <c r="AJ143" s="145">
        <f t="shared" si="88"/>
        <v>0</v>
      </c>
      <c r="AK143" s="146"/>
      <c r="AL143" s="147">
        <f t="shared" si="89"/>
        <v>0</v>
      </c>
      <c r="AM143" s="140" t="s">
        <v>120</v>
      </c>
      <c r="AN143" s="143" t="s">
        <v>120</v>
      </c>
      <c r="AO143" s="144">
        <v>0</v>
      </c>
      <c r="AP143" s="148">
        <v>0</v>
      </c>
      <c r="AQ143" s="142">
        <f t="shared" si="90"/>
        <v>0</v>
      </c>
      <c r="AR143" s="140" t="s">
        <v>120</v>
      </c>
      <c r="AS143" s="143" t="s">
        <v>120</v>
      </c>
      <c r="AT143" s="144">
        <v>0</v>
      </c>
      <c r="AU143" s="149">
        <v>0</v>
      </c>
      <c r="AV143" s="145">
        <f t="shared" si="91"/>
        <v>0</v>
      </c>
      <c r="AW143" s="146"/>
      <c r="AX143" s="140" t="s">
        <v>120</v>
      </c>
      <c r="AY143" s="143" t="s">
        <v>120</v>
      </c>
      <c r="AZ143" s="144">
        <v>0</v>
      </c>
      <c r="BA143" s="149">
        <v>0</v>
      </c>
      <c r="BB143" s="145">
        <f t="shared" si="92"/>
        <v>0</v>
      </c>
      <c r="BC143" s="150"/>
      <c r="BD143" s="151">
        <f t="shared" si="93"/>
        <v>0</v>
      </c>
      <c r="BE143" s="152">
        <f t="shared" si="94"/>
        <v>0</v>
      </c>
      <c r="BF143" s="140" t="s">
        <v>120</v>
      </c>
      <c r="BG143" s="153" t="s">
        <v>120</v>
      </c>
      <c r="BH143" s="154" t="s">
        <v>120</v>
      </c>
      <c r="BI143" s="155" t="s">
        <v>120</v>
      </c>
      <c r="BJ143" s="156" t="s">
        <v>120</v>
      </c>
      <c r="BK143" s="157"/>
      <c r="BL143" s="158">
        <f>_xlfn.XLOOKUP(L143,[1]Auslegungsgrundlagen!$A$9:$A$100,[1]Auslegungsgrundlagen!$U$9:$U$100)</f>
        <v>30</v>
      </c>
      <c r="BM143" s="137">
        <v>0</v>
      </c>
      <c r="BN143" s="159">
        <v>0</v>
      </c>
      <c r="BO143" s="152">
        <f t="shared" si="95"/>
        <v>0.09</v>
      </c>
      <c r="BP143" s="140"/>
      <c r="BQ143" s="143"/>
      <c r="BR143" s="160">
        <v>0</v>
      </c>
      <c r="BS143" s="142">
        <f t="shared" si="96"/>
        <v>0</v>
      </c>
      <c r="BT143" s="140" t="s">
        <v>120</v>
      </c>
      <c r="BU143" s="143" t="s">
        <v>120</v>
      </c>
      <c r="BV143" s="160">
        <v>0</v>
      </c>
      <c r="BW143" s="145">
        <f t="shared" si="97"/>
        <v>0</v>
      </c>
      <c r="BX143" s="146"/>
      <c r="BY143" s="140" t="s">
        <v>120</v>
      </c>
      <c r="BZ143" s="143" t="s">
        <v>120</v>
      </c>
      <c r="CA143" s="160">
        <v>0</v>
      </c>
      <c r="CB143" s="145">
        <f t="shared" si="98"/>
        <v>0</v>
      </c>
      <c r="CC143" s="146"/>
      <c r="CD143" s="151">
        <f t="shared" si="99"/>
        <v>0</v>
      </c>
      <c r="CE143" s="161" t="s">
        <v>120</v>
      </c>
      <c r="CF143" s="162" t="s">
        <v>120</v>
      </c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</row>
    <row r="144" spans="1:256" ht="12.3">
      <c r="A144" s="128" t="s">
        <v>407</v>
      </c>
      <c r="B144" s="129">
        <v>3250</v>
      </c>
      <c r="C144" s="129">
        <v>5317</v>
      </c>
      <c r="D144" s="129"/>
      <c r="E144" s="129"/>
      <c r="F144" s="130"/>
      <c r="G144" s="131" t="s">
        <v>401</v>
      </c>
      <c r="H144" s="131" t="s">
        <v>120</v>
      </c>
      <c r="I144" s="131" t="s">
        <v>120</v>
      </c>
      <c r="J144" s="131" t="s">
        <v>408</v>
      </c>
      <c r="K144" s="131" t="s">
        <v>171</v>
      </c>
      <c r="L144" s="177">
        <v>10</v>
      </c>
      <c r="M144" s="131" t="str">
        <f>_xlfn.XLOOKUP(L144,[1]Auslegungsgrundlagen!$A$9:$A$100,[1]Auslegungsgrundlagen!$B$9:$B$100)</f>
        <v>Putzmittel/ Lager</v>
      </c>
      <c r="N144" s="132">
        <v>2</v>
      </c>
      <c r="O144" s="132">
        <v>4.75</v>
      </c>
      <c r="P144" s="133">
        <v>0</v>
      </c>
      <c r="Q144" s="134"/>
      <c r="R144" s="135">
        <f>_xlfn.XLOOKUP(L144,[1]Auslegungsgrundlagen!$A$9:$A$100,[1]Auslegungsgrundlagen!$M$9:$M$100)</f>
        <v>0</v>
      </c>
      <c r="S144" s="136">
        <f>_xlfn.XLOOKUP(L144,[1]Auslegungsgrundlagen!$A$9:$A$100,[1]Auslegungsgrundlagen!$Q$9:$Q$100)*P144</f>
        <v>0</v>
      </c>
      <c r="T144" s="137">
        <v>0</v>
      </c>
      <c r="U144" s="137">
        <v>0</v>
      </c>
      <c r="V144" s="138">
        <v>0</v>
      </c>
      <c r="W144" s="139">
        <f t="shared" si="85"/>
        <v>0</v>
      </c>
      <c r="X144" s="140" t="s">
        <v>120</v>
      </c>
      <c r="Y144" s="137" t="s">
        <v>120</v>
      </c>
      <c r="Z144" s="141">
        <v>0</v>
      </c>
      <c r="AA144" s="142">
        <f t="shared" si="86"/>
        <v>0</v>
      </c>
      <c r="AB144" s="140" t="s">
        <v>120</v>
      </c>
      <c r="AC144" s="143" t="s">
        <v>120</v>
      </c>
      <c r="AD144" s="144">
        <v>0</v>
      </c>
      <c r="AE144" s="145">
        <f t="shared" si="87"/>
        <v>0</v>
      </c>
      <c r="AF144" s="146"/>
      <c r="AG144" s="140" t="s">
        <v>120</v>
      </c>
      <c r="AH144" s="143" t="s">
        <v>120</v>
      </c>
      <c r="AI144" s="144">
        <v>0</v>
      </c>
      <c r="AJ144" s="145">
        <f t="shared" si="88"/>
        <v>0</v>
      </c>
      <c r="AK144" s="146"/>
      <c r="AL144" s="147">
        <f t="shared" si="89"/>
        <v>0</v>
      </c>
      <c r="AM144" s="140" t="s">
        <v>120</v>
      </c>
      <c r="AN144" s="143" t="s">
        <v>120</v>
      </c>
      <c r="AO144" s="144">
        <v>0</v>
      </c>
      <c r="AP144" s="148">
        <v>0</v>
      </c>
      <c r="AQ144" s="142">
        <f t="shared" si="90"/>
        <v>0</v>
      </c>
      <c r="AR144" s="140" t="s">
        <v>120</v>
      </c>
      <c r="AS144" s="143" t="s">
        <v>120</v>
      </c>
      <c r="AT144" s="144">
        <v>0</v>
      </c>
      <c r="AU144" s="149">
        <v>0</v>
      </c>
      <c r="AV144" s="145">
        <f t="shared" si="91"/>
        <v>0</v>
      </c>
      <c r="AW144" s="146"/>
      <c r="AX144" s="140" t="s">
        <v>120</v>
      </c>
      <c r="AY144" s="143" t="s">
        <v>120</v>
      </c>
      <c r="AZ144" s="144">
        <v>0</v>
      </c>
      <c r="BA144" s="149">
        <v>0</v>
      </c>
      <c r="BB144" s="145">
        <f t="shared" si="92"/>
        <v>0</v>
      </c>
      <c r="BC144" s="150"/>
      <c r="BD144" s="151">
        <f t="shared" si="93"/>
        <v>0</v>
      </c>
      <c r="BE144" s="152">
        <f t="shared" si="94"/>
        <v>0</v>
      </c>
      <c r="BF144" s="140" t="s">
        <v>120</v>
      </c>
      <c r="BG144" s="153" t="s">
        <v>120</v>
      </c>
      <c r="BH144" s="154" t="s">
        <v>120</v>
      </c>
      <c r="BI144" s="155" t="s">
        <v>120</v>
      </c>
      <c r="BJ144" s="156" t="s">
        <v>120</v>
      </c>
      <c r="BK144" s="157"/>
      <c r="BL144" s="158">
        <f>_xlfn.XLOOKUP(L144,[1]Auslegungsgrundlagen!$A$9:$A$100,[1]Auslegungsgrundlagen!$U$9:$U$100)</f>
        <v>15</v>
      </c>
      <c r="BM144" s="137">
        <v>0</v>
      </c>
      <c r="BN144" s="159">
        <v>0</v>
      </c>
      <c r="BO144" s="152">
        <f t="shared" si="95"/>
        <v>0.03</v>
      </c>
      <c r="BP144" s="140"/>
      <c r="BQ144" s="143"/>
      <c r="BR144" s="160"/>
      <c r="BS144" s="142">
        <f t="shared" si="96"/>
        <v>0</v>
      </c>
      <c r="BT144" s="140" t="s">
        <v>120</v>
      </c>
      <c r="BU144" s="143" t="s">
        <v>120</v>
      </c>
      <c r="BV144" s="160">
        <v>0</v>
      </c>
      <c r="BW144" s="145">
        <f t="shared" si="97"/>
        <v>0</v>
      </c>
      <c r="BX144" s="146"/>
      <c r="BY144" s="140" t="s">
        <v>120</v>
      </c>
      <c r="BZ144" s="143" t="s">
        <v>120</v>
      </c>
      <c r="CA144" s="160">
        <v>0</v>
      </c>
      <c r="CB144" s="145">
        <f t="shared" si="98"/>
        <v>0</v>
      </c>
      <c r="CC144" s="146"/>
      <c r="CD144" s="151">
        <f t="shared" si="99"/>
        <v>0</v>
      </c>
      <c r="CE144" s="161" t="s">
        <v>120</v>
      </c>
      <c r="CF144" s="162" t="s">
        <v>120</v>
      </c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</row>
    <row r="145" spans="1:256" ht="12.3">
      <c r="A145" s="128" t="s">
        <v>419</v>
      </c>
      <c r="B145" s="129">
        <v>3250</v>
      </c>
      <c r="C145" s="129">
        <v>5533</v>
      </c>
      <c r="D145" s="129"/>
      <c r="E145" s="129"/>
      <c r="F145" s="130"/>
      <c r="G145" s="131" t="s">
        <v>401</v>
      </c>
      <c r="H145" s="131" t="s">
        <v>120</v>
      </c>
      <c r="I145" s="131" t="s">
        <v>120</v>
      </c>
      <c r="J145" s="131" t="s">
        <v>420</v>
      </c>
      <c r="K145" s="131" t="s">
        <v>184</v>
      </c>
      <c r="L145" s="177">
        <v>8</v>
      </c>
      <c r="M145" s="131" t="str">
        <f>_xlfn.XLOOKUP(L145,[1]Auslegungsgrundlagen!$A$9:$A$100,[1]Auslegungsgrundlagen!$B$9:$B$100)</f>
        <v>WCs</v>
      </c>
      <c r="N145" s="132">
        <v>2</v>
      </c>
      <c r="O145" s="132">
        <v>5.3</v>
      </c>
      <c r="P145" s="133">
        <v>0</v>
      </c>
      <c r="Q145" s="134"/>
      <c r="R145" s="135">
        <f>_xlfn.XLOOKUP(L145,[1]Auslegungsgrundlagen!$A$9:$A$100,[1]Auslegungsgrundlagen!$M$9:$M$100)</f>
        <v>0</v>
      </c>
      <c r="S145" s="136">
        <f>_xlfn.XLOOKUP(L145,[1]Auslegungsgrundlagen!$A$9:$A$100,[1]Auslegungsgrundlagen!$Q$9:$Q$100)*P145</f>
        <v>0</v>
      </c>
      <c r="T145" s="137">
        <v>0</v>
      </c>
      <c r="U145" s="137">
        <v>0</v>
      </c>
      <c r="V145" s="138">
        <v>0</v>
      </c>
      <c r="W145" s="139">
        <f t="shared" si="85"/>
        <v>0</v>
      </c>
      <c r="X145" s="140" t="s">
        <v>120</v>
      </c>
      <c r="Y145" s="137" t="s">
        <v>120</v>
      </c>
      <c r="Z145" s="141">
        <v>0</v>
      </c>
      <c r="AA145" s="142">
        <f t="shared" si="86"/>
        <v>0</v>
      </c>
      <c r="AB145" s="140" t="s">
        <v>120</v>
      </c>
      <c r="AC145" s="143" t="s">
        <v>120</v>
      </c>
      <c r="AD145" s="144">
        <v>0</v>
      </c>
      <c r="AE145" s="145">
        <f t="shared" si="87"/>
        <v>0</v>
      </c>
      <c r="AF145" s="146"/>
      <c r="AG145" s="140" t="s">
        <v>120</v>
      </c>
      <c r="AH145" s="143" t="s">
        <v>120</v>
      </c>
      <c r="AI145" s="144">
        <v>0</v>
      </c>
      <c r="AJ145" s="145">
        <f t="shared" si="88"/>
        <v>0</v>
      </c>
      <c r="AK145" s="146"/>
      <c r="AL145" s="147">
        <f t="shared" si="89"/>
        <v>0</v>
      </c>
      <c r="AM145" s="140" t="s">
        <v>120</v>
      </c>
      <c r="AN145" s="143" t="s">
        <v>120</v>
      </c>
      <c r="AO145" s="144">
        <v>0</v>
      </c>
      <c r="AP145" s="148">
        <v>0</v>
      </c>
      <c r="AQ145" s="142">
        <f t="shared" si="90"/>
        <v>0</v>
      </c>
      <c r="AR145" s="140" t="s">
        <v>120</v>
      </c>
      <c r="AS145" s="143" t="s">
        <v>120</v>
      </c>
      <c r="AT145" s="144">
        <v>0</v>
      </c>
      <c r="AU145" s="149">
        <v>0</v>
      </c>
      <c r="AV145" s="145">
        <f t="shared" si="91"/>
        <v>0</v>
      </c>
      <c r="AW145" s="146"/>
      <c r="AX145" s="140" t="s">
        <v>120</v>
      </c>
      <c r="AY145" s="143" t="s">
        <v>120</v>
      </c>
      <c r="AZ145" s="144">
        <v>0</v>
      </c>
      <c r="BA145" s="149">
        <v>0</v>
      </c>
      <c r="BB145" s="145">
        <f t="shared" si="92"/>
        <v>0</v>
      </c>
      <c r="BC145" s="150"/>
      <c r="BD145" s="151">
        <f t="shared" si="93"/>
        <v>0</v>
      </c>
      <c r="BE145" s="152">
        <f t="shared" si="94"/>
        <v>0</v>
      </c>
      <c r="BF145" s="140" t="s">
        <v>120</v>
      </c>
      <c r="BG145" s="153" t="s">
        <v>120</v>
      </c>
      <c r="BH145" s="154" t="s">
        <v>120</v>
      </c>
      <c r="BI145" s="155" t="s">
        <v>120</v>
      </c>
      <c r="BJ145" s="156" t="s">
        <v>120</v>
      </c>
      <c r="BK145" s="157"/>
      <c r="BL145" s="158">
        <f>_xlfn.XLOOKUP(L145,[1]Auslegungsgrundlagen!$A$9:$A$100,[1]Auslegungsgrundlagen!$U$9:$U$100)</f>
        <v>30</v>
      </c>
      <c r="BM145" s="137">
        <v>0</v>
      </c>
      <c r="BN145" s="159">
        <v>0</v>
      </c>
      <c r="BO145" s="152">
        <f t="shared" si="95"/>
        <v>0.06</v>
      </c>
      <c r="BP145" s="140" t="s">
        <v>12</v>
      </c>
      <c r="BQ145" s="143"/>
      <c r="BR145" s="160"/>
      <c r="BS145" s="142">
        <f t="shared" si="96"/>
        <v>0</v>
      </c>
      <c r="BT145" s="140" t="s">
        <v>120</v>
      </c>
      <c r="BU145" s="143" t="s">
        <v>120</v>
      </c>
      <c r="BV145" s="160">
        <v>0</v>
      </c>
      <c r="BW145" s="145">
        <f t="shared" si="97"/>
        <v>0</v>
      </c>
      <c r="BX145" s="146"/>
      <c r="BY145" s="140" t="s">
        <v>120</v>
      </c>
      <c r="BZ145" s="143" t="s">
        <v>120</v>
      </c>
      <c r="CA145" s="160">
        <v>0</v>
      </c>
      <c r="CB145" s="145">
        <f t="shared" si="98"/>
        <v>0</v>
      </c>
      <c r="CC145" s="146"/>
      <c r="CD145" s="151">
        <f t="shared" si="99"/>
        <v>0</v>
      </c>
      <c r="CE145" s="161" t="s">
        <v>120</v>
      </c>
      <c r="CF145" s="162" t="s">
        <v>120</v>
      </c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</row>
    <row r="146" spans="1:256" ht="12.3">
      <c r="A146" s="128" t="s">
        <v>417</v>
      </c>
      <c r="B146" s="129">
        <v>3250</v>
      </c>
      <c r="C146" s="129">
        <v>7148</v>
      </c>
      <c r="D146" s="129"/>
      <c r="E146" s="129"/>
      <c r="F146" s="130"/>
      <c r="G146" s="131" t="s">
        <v>401</v>
      </c>
      <c r="H146" s="131" t="s">
        <v>120</v>
      </c>
      <c r="I146" s="131" t="s">
        <v>120</v>
      </c>
      <c r="J146" s="131" t="s">
        <v>418</v>
      </c>
      <c r="K146" s="131" t="s">
        <v>184</v>
      </c>
      <c r="L146" s="177">
        <v>8</v>
      </c>
      <c r="M146" s="131" t="str">
        <f>_xlfn.XLOOKUP(L146,[1]Auslegungsgrundlagen!$A$9:$A$100,[1]Auslegungsgrundlagen!$B$9:$B$100)</f>
        <v>WCs</v>
      </c>
      <c r="N146" s="132">
        <v>3</v>
      </c>
      <c r="O146" s="132">
        <v>9.58</v>
      </c>
      <c r="P146" s="133">
        <v>0</v>
      </c>
      <c r="Q146" s="134"/>
      <c r="R146" s="135">
        <f>_xlfn.XLOOKUP(L146,[1]Auslegungsgrundlagen!$A$9:$A$100,[1]Auslegungsgrundlagen!$M$9:$M$100)</f>
        <v>0</v>
      </c>
      <c r="S146" s="136">
        <f>_xlfn.XLOOKUP(L146,[1]Auslegungsgrundlagen!$A$9:$A$100,[1]Auslegungsgrundlagen!$Q$9:$Q$100)*P146</f>
        <v>0</v>
      </c>
      <c r="T146" s="137">
        <v>0</v>
      </c>
      <c r="U146" s="137">
        <v>0</v>
      </c>
      <c r="V146" s="138">
        <v>0</v>
      </c>
      <c r="W146" s="139">
        <f t="shared" si="85"/>
        <v>0</v>
      </c>
      <c r="X146" s="140" t="s">
        <v>120</v>
      </c>
      <c r="Y146" s="137" t="s">
        <v>120</v>
      </c>
      <c r="Z146" s="141">
        <v>0</v>
      </c>
      <c r="AA146" s="142">
        <f t="shared" si="86"/>
        <v>0</v>
      </c>
      <c r="AB146" s="140" t="s">
        <v>120</v>
      </c>
      <c r="AC146" s="143" t="s">
        <v>120</v>
      </c>
      <c r="AD146" s="144">
        <v>0</v>
      </c>
      <c r="AE146" s="145">
        <f t="shared" si="87"/>
        <v>0</v>
      </c>
      <c r="AF146" s="146"/>
      <c r="AG146" s="140" t="s">
        <v>120</v>
      </c>
      <c r="AH146" s="143" t="s">
        <v>120</v>
      </c>
      <c r="AI146" s="144">
        <v>0</v>
      </c>
      <c r="AJ146" s="145">
        <f t="shared" si="88"/>
        <v>0</v>
      </c>
      <c r="AK146" s="146"/>
      <c r="AL146" s="147">
        <f t="shared" si="89"/>
        <v>0</v>
      </c>
      <c r="AM146" s="140" t="s">
        <v>120</v>
      </c>
      <c r="AN146" s="143" t="s">
        <v>120</v>
      </c>
      <c r="AO146" s="144">
        <v>0</v>
      </c>
      <c r="AP146" s="148">
        <v>0</v>
      </c>
      <c r="AQ146" s="142">
        <f t="shared" si="90"/>
        <v>0</v>
      </c>
      <c r="AR146" s="140" t="s">
        <v>120</v>
      </c>
      <c r="AS146" s="143" t="s">
        <v>120</v>
      </c>
      <c r="AT146" s="144">
        <v>0</v>
      </c>
      <c r="AU146" s="149">
        <v>0</v>
      </c>
      <c r="AV146" s="145">
        <f t="shared" si="91"/>
        <v>0</v>
      </c>
      <c r="AW146" s="146"/>
      <c r="AX146" s="140" t="s">
        <v>120</v>
      </c>
      <c r="AY146" s="143" t="s">
        <v>120</v>
      </c>
      <c r="AZ146" s="144">
        <v>0</v>
      </c>
      <c r="BA146" s="149">
        <v>0</v>
      </c>
      <c r="BB146" s="145">
        <f t="shared" si="92"/>
        <v>0</v>
      </c>
      <c r="BC146" s="150"/>
      <c r="BD146" s="151">
        <f t="shared" si="93"/>
        <v>0</v>
      </c>
      <c r="BE146" s="152">
        <f t="shared" si="94"/>
        <v>0</v>
      </c>
      <c r="BF146" s="140" t="s">
        <v>120</v>
      </c>
      <c r="BG146" s="153" t="s">
        <v>120</v>
      </c>
      <c r="BH146" s="154" t="s">
        <v>120</v>
      </c>
      <c r="BI146" s="155" t="s">
        <v>120</v>
      </c>
      <c r="BJ146" s="156" t="s">
        <v>120</v>
      </c>
      <c r="BK146" s="157"/>
      <c r="BL146" s="158">
        <f>_xlfn.XLOOKUP(L146,[1]Auslegungsgrundlagen!$A$9:$A$100,[1]Auslegungsgrundlagen!$U$9:$U$100)</f>
        <v>30</v>
      </c>
      <c r="BM146" s="137">
        <v>0</v>
      </c>
      <c r="BN146" s="159">
        <v>0</v>
      </c>
      <c r="BO146" s="152">
        <f t="shared" si="95"/>
        <v>0.09</v>
      </c>
      <c r="BP146" s="140" t="s">
        <v>12</v>
      </c>
      <c r="BQ146" s="143">
        <v>150</v>
      </c>
      <c r="BR146" s="160">
        <v>1</v>
      </c>
      <c r="BS146" s="142">
        <f t="shared" si="96"/>
        <v>0.15</v>
      </c>
      <c r="BT146" s="140" t="s">
        <v>120</v>
      </c>
      <c r="BU146" s="143" t="s">
        <v>120</v>
      </c>
      <c r="BV146" s="160">
        <v>0</v>
      </c>
      <c r="BW146" s="145">
        <f t="shared" si="97"/>
        <v>0</v>
      </c>
      <c r="BX146" s="146"/>
      <c r="BY146" s="140" t="s">
        <v>120</v>
      </c>
      <c r="BZ146" s="143" t="s">
        <v>120</v>
      </c>
      <c r="CA146" s="160">
        <v>0</v>
      </c>
      <c r="CB146" s="145">
        <f t="shared" si="98"/>
        <v>0</v>
      </c>
      <c r="CC146" s="146"/>
      <c r="CD146" s="151">
        <f t="shared" si="99"/>
        <v>0.15</v>
      </c>
      <c r="CE146" s="161" t="s">
        <v>120</v>
      </c>
      <c r="CF146" s="162" t="s">
        <v>120</v>
      </c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</row>
    <row r="147" spans="1:256" ht="12.3">
      <c r="A147" s="128" t="s">
        <v>421</v>
      </c>
      <c r="B147" s="129">
        <v>3250</v>
      </c>
      <c r="C147" s="129">
        <v>34382</v>
      </c>
      <c r="D147" s="129"/>
      <c r="E147" s="129"/>
      <c r="F147" s="130"/>
      <c r="G147" s="131" t="s">
        <v>401</v>
      </c>
      <c r="H147" s="131" t="s">
        <v>120</v>
      </c>
      <c r="I147" s="131" t="s">
        <v>120</v>
      </c>
      <c r="J147" s="131" t="s">
        <v>422</v>
      </c>
      <c r="K147" s="131" t="s">
        <v>200</v>
      </c>
      <c r="L147" s="177">
        <v>17</v>
      </c>
      <c r="M147" s="131" t="str">
        <f>_xlfn.XLOOKUP(L147,[1]Auslegungsgrundlagen!$A$9:$A$100,[1]Auslegungsgrundlagen!$B$9:$B$100)</f>
        <v>Treppenhäuser/Magistrale</v>
      </c>
      <c r="N147" s="132">
        <v>41</v>
      </c>
      <c r="O147" s="132">
        <v>122.95</v>
      </c>
      <c r="P147" s="133">
        <v>0</v>
      </c>
      <c r="Q147" s="134"/>
      <c r="R147" s="135">
        <f>_xlfn.XLOOKUP(L147,[1]Auslegungsgrundlagen!$A$9:$A$100,[1]Auslegungsgrundlagen!$M$9:$M$100)</f>
        <v>0</v>
      </c>
      <c r="S147" s="136">
        <f>_xlfn.XLOOKUP(L147,[1]Auslegungsgrundlagen!$A$9:$A$100,[1]Auslegungsgrundlagen!$Q$9:$Q$100)*P147</f>
        <v>0</v>
      </c>
      <c r="T147" s="137">
        <v>0</v>
      </c>
      <c r="U147" s="137">
        <v>0</v>
      </c>
      <c r="V147" s="138">
        <v>0</v>
      </c>
      <c r="W147" s="139">
        <f t="shared" si="85"/>
        <v>0</v>
      </c>
      <c r="X147" s="140" t="s">
        <v>120</v>
      </c>
      <c r="Y147" s="137" t="s">
        <v>120</v>
      </c>
      <c r="Z147" s="141">
        <v>0</v>
      </c>
      <c r="AA147" s="142">
        <f t="shared" si="86"/>
        <v>0</v>
      </c>
      <c r="AB147" s="140" t="s">
        <v>120</v>
      </c>
      <c r="AC147" s="143" t="s">
        <v>120</v>
      </c>
      <c r="AD147" s="144">
        <v>0</v>
      </c>
      <c r="AE147" s="145">
        <f t="shared" si="87"/>
        <v>0</v>
      </c>
      <c r="AF147" s="146"/>
      <c r="AG147" s="140" t="s">
        <v>120</v>
      </c>
      <c r="AH147" s="143" t="s">
        <v>120</v>
      </c>
      <c r="AI147" s="144">
        <v>0</v>
      </c>
      <c r="AJ147" s="145">
        <f t="shared" si="88"/>
        <v>0</v>
      </c>
      <c r="AK147" s="146"/>
      <c r="AL147" s="147">
        <f t="shared" si="89"/>
        <v>0</v>
      </c>
      <c r="AM147" s="140" t="s">
        <v>120</v>
      </c>
      <c r="AN147" s="143" t="s">
        <v>120</v>
      </c>
      <c r="AO147" s="144">
        <v>0</v>
      </c>
      <c r="AP147" s="148">
        <v>0</v>
      </c>
      <c r="AQ147" s="142">
        <f t="shared" si="90"/>
        <v>0</v>
      </c>
      <c r="AR147" s="140" t="s">
        <v>120</v>
      </c>
      <c r="AS147" s="143" t="s">
        <v>120</v>
      </c>
      <c r="AT147" s="144">
        <v>0</v>
      </c>
      <c r="AU147" s="149">
        <v>0</v>
      </c>
      <c r="AV147" s="145">
        <f t="shared" si="91"/>
        <v>0</v>
      </c>
      <c r="AW147" s="146"/>
      <c r="AX147" s="140" t="s">
        <v>120</v>
      </c>
      <c r="AY147" s="143" t="s">
        <v>120</v>
      </c>
      <c r="AZ147" s="144">
        <v>0</v>
      </c>
      <c r="BA147" s="149">
        <v>0</v>
      </c>
      <c r="BB147" s="145">
        <f t="shared" si="92"/>
        <v>0</v>
      </c>
      <c r="BC147" s="150"/>
      <c r="BD147" s="151">
        <f t="shared" si="93"/>
        <v>0</v>
      </c>
      <c r="BE147" s="152">
        <f t="shared" si="94"/>
        <v>0</v>
      </c>
      <c r="BF147" s="140" t="s">
        <v>120</v>
      </c>
      <c r="BG147" s="153" t="s">
        <v>120</v>
      </c>
      <c r="BH147" s="154" t="s">
        <v>120</v>
      </c>
      <c r="BI147" s="155" t="s">
        <v>120</v>
      </c>
      <c r="BJ147" s="156" t="s">
        <v>120</v>
      </c>
      <c r="BK147" s="157"/>
      <c r="BL147" s="158">
        <f>_xlfn.XLOOKUP(L147,[1]Auslegungsgrundlagen!$A$9:$A$100,[1]Auslegungsgrundlagen!$U$9:$U$100)</f>
        <v>25</v>
      </c>
      <c r="BM147" s="137">
        <v>0</v>
      </c>
      <c r="BN147" s="159">
        <v>0</v>
      </c>
      <c r="BO147" s="152">
        <f t="shared" si="95"/>
        <v>1.03</v>
      </c>
      <c r="BP147" s="140" t="s">
        <v>12</v>
      </c>
      <c r="BQ147" s="143">
        <f t="shared" ref="BQ147" si="101">BO147*1000</f>
        <v>1030</v>
      </c>
      <c r="BR147" s="160">
        <v>1</v>
      </c>
      <c r="BS147" s="142">
        <f t="shared" si="96"/>
        <v>1.03</v>
      </c>
      <c r="BT147" s="140" t="s">
        <v>120</v>
      </c>
      <c r="BU147" s="143" t="s">
        <v>120</v>
      </c>
      <c r="BV147" s="160">
        <v>0</v>
      </c>
      <c r="BW147" s="145">
        <f t="shared" si="97"/>
        <v>0</v>
      </c>
      <c r="BX147" s="146"/>
      <c r="BY147" s="140" t="s">
        <v>120</v>
      </c>
      <c r="BZ147" s="143" t="s">
        <v>120</v>
      </c>
      <c r="CA147" s="160">
        <v>0</v>
      </c>
      <c r="CB147" s="145">
        <f t="shared" si="98"/>
        <v>0</v>
      </c>
      <c r="CC147" s="146"/>
      <c r="CD147" s="151">
        <f t="shared" si="99"/>
        <v>1.03</v>
      </c>
      <c r="CE147" s="161" t="s">
        <v>120</v>
      </c>
      <c r="CF147" s="162" t="s">
        <v>120</v>
      </c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</row>
    <row r="148" spans="1:256" ht="12.3">
      <c r="A148" s="128" t="s">
        <v>403</v>
      </c>
      <c r="B148" s="129">
        <v>3250</v>
      </c>
      <c r="C148" s="129">
        <v>7050</v>
      </c>
      <c r="D148" s="129"/>
      <c r="E148" s="129"/>
      <c r="F148" s="130"/>
      <c r="G148" s="131" t="s">
        <v>401</v>
      </c>
      <c r="H148" s="131" t="s">
        <v>120</v>
      </c>
      <c r="I148" s="131" t="s">
        <v>120</v>
      </c>
      <c r="J148" s="131" t="s">
        <v>404</v>
      </c>
      <c r="K148" s="131" t="s">
        <v>168</v>
      </c>
      <c r="L148" s="177">
        <v>18</v>
      </c>
      <c r="M148" s="131" t="str">
        <f>_xlfn.XLOOKUP(L148,[1]Auslegungsgrundlagen!$A$9:$A$100,[1]Auslegungsgrundlagen!$B$9:$B$100)</f>
        <v>Schächte</v>
      </c>
      <c r="N148" s="132">
        <v>3</v>
      </c>
      <c r="O148" s="132">
        <v>9.26</v>
      </c>
      <c r="P148" s="133">
        <v>0</v>
      </c>
      <c r="Q148" s="134"/>
      <c r="R148" s="135">
        <f>_xlfn.XLOOKUP(L148,[1]Auslegungsgrundlagen!$A$9:$A$100,[1]Auslegungsgrundlagen!$M$9:$M$100)</f>
        <v>0</v>
      </c>
      <c r="S148" s="136">
        <f>_xlfn.XLOOKUP(L148,[1]Auslegungsgrundlagen!$A$9:$A$100,[1]Auslegungsgrundlagen!$Q$9:$Q$100)*P148</f>
        <v>0</v>
      </c>
      <c r="T148" s="137">
        <v>0</v>
      </c>
      <c r="U148" s="137">
        <v>0</v>
      </c>
      <c r="V148" s="138">
        <v>0</v>
      </c>
      <c r="W148" s="139">
        <f t="shared" si="85"/>
        <v>0</v>
      </c>
      <c r="X148" s="140" t="s">
        <v>120</v>
      </c>
      <c r="Y148" s="137" t="s">
        <v>120</v>
      </c>
      <c r="Z148" s="141">
        <v>0</v>
      </c>
      <c r="AA148" s="142">
        <f t="shared" si="86"/>
        <v>0</v>
      </c>
      <c r="AB148" s="140" t="s">
        <v>120</v>
      </c>
      <c r="AC148" s="143" t="s">
        <v>120</v>
      </c>
      <c r="AD148" s="144">
        <v>0</v>
      </c>
      <c r="AE148" s="145">
        <f t="shared" si="87"/>
        <v>0</v>
      </c>
      <c r="AF148" s="146"/>
      <c r="AG148" s="140" t="s">
        <v>120</v>
      </c>
      <c r="AH148" s="143" t="s">
        <v>120</v>
      </c>
      <c r="AI148" s="144">
        <v>0</v>
      </c>
      <c r="AJ148" s="145">
        <f t="shared" si="88"/>
        <v>0</v>
      </c>
      <c r="AK148" s="146"/>
      <c r="AL148" s="147">
        <f t="shared" si="89"/>
        <v>0</v>
      </c>
      <c r="AM148" s="140" t="s">
        <v>120</v>
      </c>
      <c r="AN148" s="143" t="s">
        <v>120</v>
      </c>
      <c r="AO148" s="144">
        <v>0</v>
      </c>
      <c r="AP148" s="148">
        <v>0</v>
      </c>
      <c r="AQ148" s="142">
        <f t="shared" si="90"/>
        <v>0</v>
      </c>
      <c r="AR148" s="140" t="s">
        <v>120</v>
      </c>
      <c r="AS148" s="143" t="s">
        <v>120</v>
      </c>
      <c r="AT148" s="144">
        <v>0</v>
      </c>
      <c r="AU148" s="149">
        <v>0</v>
      </c>
      <c r="AV148" s="145">
        <f t="shared" si="91"/>
        <v>0</v>
      </c>
      <c r="AW148" s="146"/>
      <c r="AX148" s="140" t="s">
        <v>120</v>
      </c>
      <c r="AY148" s="143" t="s">
        <v>120</v>
      </c>
      <c r="AZ148" s="144">
        <v>0</v>
      </c>
      <c r="BA148" s="149">
        <v>0</v>
      </c>
      <c r="BB148" s="145">
        <f t="shared" si="92"/>
        <v>0</v>
      </c>
      <c r="BC148" s="150"/>
      <c r="BD148" s="151">
        <f t="shared" si="93"/>
        <v>0</v>
      </c>
      <c r="BE148" s="152">
        <f t="shared" si="94"/>
        <v>0</v>
      </c>
      <c r="BF148" s="140" t="s">
        <v>120</v>
      </c>
      <c r="BG148" s="153" t="s">
        <v>120</v>
      </c>
      <c r="BH148" s="154" t="s">
        <v>120</v>
      </c>
      <c r="BI148" s="155" t="s">
        <v>120</v>
      </c>
      <c r="BJ148" s="156" t="s">
        <v>120</v>
      </c>
      <c r="BK148" s="157"/>
      <c r="BL148" s="158">
        <f>_xlfn.XLOOKUP(L148,[1]Auslegungsgrundlagen!$A$9:$A$100,[1]Auslegungsgrundlagen!$U$9:$U$100)</f>
        <v>0</v>
      </c>
      <c r="BM148" s="137">
        <v>0</v>
      </c>
      <c r="BN148" s="159">
        <v>0</v>
      </c>
      <c r="BO148" s="152">
        <f t="shared" si="95"/>
        <v>0</v>
      </c>
      <c r="BP148" s="140" t="s">
        <v>120</v>
      </c>
      <c r="BQ148" s="143" t="s">
        <v>120</v>
      </c>
      <c r="BR148" s="160">
        <v>0</v>
      </c>
      <c r="BS148" s="142">
        <f t="shared" si="96"/>
        <v>0</v>
      </c>
      <c r="BT148" s="140" t="s">
        <v>120</v>
      </c>
      <c r="BU148" s="143" t="s">
        <v>120</v>
      </c>
      <c r="BV148" s="160">
        <v>0</v>
      </c>
      <c r="BW148" s="145">
        <f t="shared" si="97"/>
        <v>0</v>
      </c>
      <c r="BX148" s="146"/>
      <c r="BY148" s="140" t="s">
        <v>120</v>
      </c>
      <c r="BZ148" s="143" t="s">
        <v>120</v>
      </c>
      <c r="CA148" s="160">
        <v>0</v>
      </c>
      <c r="CB148" s="145">
        <f t="shared" si="98"/>
        <v>0</v>
      </c>
      <c r="CC148" s="146"/>
      <c r="CD148" s="151">
        <f t="shared" si="99"/>
        <v>0</v>
      </c>
      <c r="CE148" s="161" t="s">
        <v>120</v>
      </c>
      <c r="CF148" s="162" t="s">
        <v>120</v>
      </c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</row>
    <row r="149" spans="1:256" ht="12.3">
      <c r="A149" s="128" t="s">
        <v>437</v>
      </c>
      <c r="B149" s="129">
        <v>3250</v>
      </c>
      <c r="C149" s="129">
        <v>6840</v>
      </c>
      <c r="D149" s="129"/>
      <c r="E149" s="129"/>
      <c r="F149" s="130"/>
      <c r="G149" s="131" t="s">
        <v>401</v>
      </c>
      <c r="H149" s="131" t="s">
        <v>120</v>
      </c>
      <c r="I149" s="131" t="s">
        <v>120</v>
      </c>
      <c r="J149" s="131" t="s">
        <v>438</v>
      </c>
      <c r="K149" s="131" t="s">
        <v>177</v>
      </c>
      <c r="L149" s="177">
        <v>14</v>
      </c>
      <c r="M149" s="131" t="str">
        <f>_xlfn.XLOOKUP(L149,[1]Auslegungsgrundlagen!$A$9:$A$100,[1]Auslegungsgrundlagen!$B$9:$B$100)</f>
        <v>ELT-Schacht</v>
      </c>
      <c r="N149" s="132">
        <v>3</v>
      </c>
      <c r="O149" s="132">
        <v>8.75</v>
      </c>
      <c r="P149" s="133">
        <v>0</v>
      </c>
      <c r="Q149" s="134"/>
      <c r="R149" s="135">
        <f>_xlfn.XLOOKUP(L149,[1]Auslegungsgrundlagen!$A$9:$A$100,[1]Auslegungsgrundlagen!$M$9:$M$100)</f>
        <v>0</v>
      </c>
      <c r="S149" s="136">
        <f>_xlfn.XLOOKUP(L149,[1]Auslegungsgrundlagen!$A$9:$A$100,[1]Auslegungsgrundlagen!$Q$9:$Q$100)*P149</f>
        <v>0</v>
      </c>
      <c r="T149" s="137">
        <v>0</v>
      </c>
      <c r="U149" s="137">
        <v>0</v>
      </c>
      <c r="V149" s="138">
        <v>0</v>
      </c>
      <c r="W149" s="139">
        <f t="shared" si="85"/>
        <v>0</v>
      </c>
      <c r="X149" s="140" t="s">
        <v>120</v>
      </c>
      <c r="Y149" s="137" t="s">
        <v>120</v>
      </c>
      <c r="Z149" s="141">
        <v>0</v>
      </c>
      <c r="AA149" s="142">
        <f t="shared" si="86"/>
        <v>0</v>
      </c>
      <c r="AB149" s="140" t="s">
        <v>120</v>
      </c>
      <c r="AC149" s="143" t="s">
        <v>120</v>
      </c>
      <c r="AD149" s="144">
        <v>0</v>
      </c>
      <c r="AE149" s="145">
        <f t="shared" si="87"/>
        <v>0</v>
      </c>
      <c r="AF149" s="146"/>
      <c r="AG149" s="140" t="s">
        <v>120</v>
      </c>
      <c r="AH149" s="143" t="s">
        <v>120</v>
      </c>
      <c r="AI149" s="144">
        <v>0</v>
      </c>
      <c r="AJ149" s="145">
        <f t="shared" si="88"/>
        <v>0</v>
      </c>
      <c r="AK149" s="146"/>
      <c r="AL149" s="147">
        <f t="shared" si="89"/>
        <v>0</v>
      </c>
      <c r="AM149" s="140" t="s">
        <v>120</v>
      </c>
      <c r="AN149" s="143" t="s">
        <v>120</v>
      </c>
      <c r="AO149" s="144">
        <v>0</v>
      </c>
      <c r="AP149" s="148">
        <v>0</v>
      </c>
      <c r="AQ149" s="142">
        <f t="shared" si="90"/>
        <v>0</v>
      </c>
      <c r="AR149" s="140" t="s">
        <v>120</v>
      </c>
      <c r="AS149" s="143" t="s">
        <v>120</v>
      </c>
      <c r="AT149" s="144">
        <v>0</v>
      </c>
      <c r="AU149" s="149">
        <v>0</v>
      </c>
      <c r="AV149" s="145">
        <f t="shared" si="91"/>
        <v>0</v>
      </c>
      <c r="AW149" s="146"/>
      <c r="AX149" s="140" t="s">
        <v>120</v>
      </c>
      <c r="AY149" s="143" t="s">
        <v>120</v>
      </c>
      <c r="AZ149" s="144">
        <v>0</v>
      </c>
      <c r="BA149" s="149">
        <v>0</v>
      </c>
      <c r="BB149" s="145">
        <f t="shared" si="92"/>
        <v>0</v>
      </c>
      <c r="BC149" s="150"/>
      <c r="BD149" s="151">
        <f t="shared" si="93"/>
        <v>0</v>
      </c>
      <c r="BE149" s="152">
        <f t="shared" si="94"/>
        <v>0</v>
      </c>
      <c r="BF149" s="140" t="s">
        <v>120</v>
      </c>
      <c r="BG149" s="153" t="s">
        <v>120</v>
      </c>
      <c r="BH149" s="154" t="s">
        <v>120</v>
      </c>
      <c r="BI149" s="155" t="s">
        <v>120</v>
      </c>
      <c r="BJ149" s="156" t="s">
        <v>120</v>
      </c>
      <c r="BK149" s="157"/>
      <c r="BL149" s="158">
        <f>_xlfn.XLOOKUP(L149,[1]Auslegungsgrundlagen!$A$9:$A$100,[1]Auslegungsgrundlagen!$U$9:$U$100)</f>
        <v>0</v>
      </c>
      <c r="BM149" s="137">
        <v>0</v>
      </c>
      <c r="BN149" s="159">
        <v>0</v>
      </c>
      <c r="BO149" s="152">
        <f t="shared" si="95"/>
        <v>0</v>
      </c>
      <c r="BP149" s="140"/>
      <c r="BQ149" s="143"/>
      <c r="BR149" s="160"/>
      <c r="BS149" s="142">
        <f t="shared" si="96"/>
        <v>0</v>
      </c>
      <c r="BT149" s="140" t="s">
        <v>120</v>
      </c>
      <c r="BU149" s="143" t="s">
        <v>120</v>
      </c>
      <c r="BV149" s="160">
        <v>0</v>
      </c>
      <c r="BW149" s="145">
        <f t="shared" si="97"/>
        <v>0</v>
      </c>
      <c r="BX149" s="146"/>
      <c r="BY149" s="140" t="s">
        <v>120</v>
      </c>
      <c r="BZ149" s="143" t="s">
        <v>120</v>
      </c>
      <c r="CA149" s="160">
        <v>0</v>
      </c>
      <c r="CB149" s="145">
        <f t="shared" si="98"/>
        <v>0</v>
      </c>
      <c r="CC149" s="146"/>
      <c r="CD149" s="151">
        <f t="shared" si="99"/>
        <v>0</v>
      </c>
      <c r="CE149" s="161" t="s">
        <v>120</v>
      </c>
      <c r="CF149" s="162" t="s">
        <v>120</v>
      </c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</row>
    <row r="150" spans="1:256" ht="12.3">
      <c r="A150" s="128" t="s">
        <v>159</v>
      </c>
      <c r="B150" s="129">
        <v>3930</v>
      </c>
      <c r="C150" s="129">
        <v>15875</v>
      </c>
      <c r="D150" s="129"/>
      <c r="E150" s="129"/>
      <c r="F150" s="130"/>
      <c r="G150" s="131" t="s">
        <v>119</v>
      </c>
      <c r="H150" s="131" t="s">
        <v>120</v>
      </c>
      <c r="I150" s="131" t="s">
        <v>120</v>
      </c>
      <c r="J150" s="131" t="s">
        <v>160</v>
      </c>
      <c r="K150" s="131" t="s">
        <v>161</v>
      </c>
      <c r="L150" s="177">
        <v>18</v>
      </c>
      <c r="M150" s="131" t="str">
        <f>_xlfn.XLOOKUP(L150,[1]Auslegungsgrundlagen!$A$9:$A$100,[1]Auslegungsgrundlagen!$B$9:$B$100)</f>
        <v>Schächte</v>
      </c>
      <c r="N150" s="132">
        <v>15</v>
      </c>
      <c r="O150" s="132">
        <v>57.77</v>
      </c>
      <c r="P150" s="133">
        <v>0</v>
      </c>
      <c r="Q150" s="134"/>
      <c r="R150" s="135">
        <f>_xlfn.XLOOKUP(L150,[1]Auslegungsgrundlagen!$A$9:$A$100,[1]Auslegungsgrundlagen!$M$9:$M$100)</f>
        <v>0</v>
      </c>
      <c r="S150" s="136">
        <f>_xlfn.XLOOKUP(L150,[1]Auslegungsgrundlagen!$A$9:$A$100,[1]Auslegungsgrundlagen!$Q$9:$Q$100)*P150</f>
        <v>0</v>
      </c>
      <c r="T150" s="137">
        <v>0</v>
      </c>
      <c r="U150" s="137">
        <v>0</v>
      </c>
      <c r="V150" s="138">
        <v>0</v>
      </c>
      <c r="W150" s="139">
        <f t="shared" si="85"/>
        <v>0</v>
      </c>
      <c r="X150" s="140" t="s">
        <v>120</v>
      </c>
      <c r="Y150" s="137" t="s">
        <v>120</v>
      </c>
      <c r="Z150" s="141">
        <v>0</v>
      </c>
      <c r="AA150" s="142">
        <f t="shared" si="86"/>
        <v>0</v>
      </c>
      <c r="AB150" s="140" t="s">
        <v>120</v>
      </c>
      <c r="AC150" s="143" t="s">
        <v>120</v>
      </c>
      <c r="AD150" s="144">
        <v>0</v>
      </c>
      <c r="AE150" s="145">
        <f t="shared" si="87"/>
        <v>0</v>
      </c>
      <c r="AF150" s="146"/>
      <c r="AG150" s="140" t="s">
        <v>120</v>
      </c>
      <c r="AH150" s="143" t="s">
        <v>120</v>
      </c>
      <c r="AI150" s="144">
        <v>0</v>
      </c>
      <c r="AJ150" s="145">
        <f t="shared" si="88"/>
        <v>0</v>
      </c>
      <c r="AK150" s="146"/>
      <c r="AL150" s="147">
        <f t="shared" si="89"/>
        <v>0</v>
      </c>
      <c r="AM150" s="140" t="s">
        <v>120</v>
      </c>
      <c r="AN150" s="143" t="s">
        <v>120</v>
      </c>
      <c r="AO150" s="144">
        <v>0</v>
      </c>
      <c r="AP150" s="148">
        <v>0</v>
      </c>
      <c r="AQ150" s="142">
        <f t="shared" si="90"/>
        <v>0</v>
      </c>
      <c r="AR150" s="140" t="s">
        <v>120</v>
      </c>
      <c r="AS150" s="143" t="s">
        <v>120</v>
      </c>
      <c r="AT150" s="144">
        <v>0</v>
      </c>
      <c r="AU150" s="149">
        <v>0</v>
      </c>
      <c r="AV150" s="145">
        <f t="shared" si="91"/>
        <v>0</v>
      </c>
      <c r="AW150" s="146"/>
      <c r="AX150" s="140" t="s">
        <v>120</v>
      </c>
      <c r="AY150" s="143" t="s">
        <v>120</v>
      </c>
      <c r="AZ150" s="144">
        <v>0</v>
      </c>
      <c r="BA150" s="149">
        <v>0</v>
      </c>
      <c r="BB150" s="145">
        <f t="shared" si="92"/>
        <v>0</v>
      </c>
      <c r="BC150" s="150"/>
      <c r="BD150" s="151">
        <f t="shared" si="93"/>
        <v>0</v>
      </c>
      <c r="BE150" s="152">
        <f t="shared" si="94"/>
        <v>0</v>
      </c>
      <c r="BF150" s="140" t="s">
        <v>120</v>
      </c>
      <c r="BG150" s="153" t="s">
        <v>120</v>
      </c>
      <c r="BH150" s="154" t="s">
        <v>120</v>
      </c>
      <c r="BI150" s="155" t="s">
        <v>120</v>
      </c>
      <c r="BJ150" s="156" t="s">
        <v>120</v>
      </c>
      <c r="BK150" s="157"/>
      <c r="BL150" s="158">
        <f>_xlfn.XLOOKUP(L150,[1]Auslegungsgrundlagen!$A$9:$A$100,[1]Auslegungsgrundlagen!$U$9:$U$100)</f>
        <v>0</v>
      </c>
      <c r="BM150" s="137">
        <v>0</v>
      </c>
      <c r="BN150" s="159">
        <v>0</v>
      </c>
      <c r="BO150" s="152">
        <f t="shared" si="95"/>
        <v>0</v>
      </c>
      <c r="BP150" s="140" t="s">
        <v>120</v>
      </c>
      <c r="BQ150" s="143" t="s">
        <v>120</v>
      </c>
      <c r="BR150" s="160">
        <v>0</v>
      </c>
      <c r="BS150" s="142">
        <f t="shared" si="96"/>
        <v>0</v>
      </c>
      <c r="BT150" s="140" t="s">
        <v>120</v>
      </c>
      <c r="BU150" s="143" t="s">
        <v>120</v>
      </c>
      <c r="BV150" s="160">
        <v>0</v>
      </c>
      <c r="BW150" s="145">
        <f t="shared" si="97"/>
        <v>0</v>
      </c>
      <c r="BX150" s="146"/>
      <c r="BY150" s="140" t="s">
        <v>120</v>
      </c>
      <c r="BZ150" s="143" t="s">
        <v>120</v>
      </c>
      <c r="CA150" s="160">
        <v>0</v>
      </c>
      <c r="CB150" s="145">
        <f t="shared" si="98"/>
        <v>0</v>
      </c>
      <c r="CC150" s="146"/>
      <c r="CD150" s="151">
        <f t="shared" si="99"/>
        <v>0</v>
      </c>
      <c r="CE150" s="161" t="s">
        <v>120</v>
      </c>
      <c r="CF150" s="162" t="s">
        <v>120</v>
      </c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</row>
    <row r="151" spans="1:256" ht="12.3">
      <c r="A151" s="128" t="s">
        <v>157</v>
      </c>
      <c r="B151" s="129">
        <v>3930</v>
      </c>
      <c r="C151" s="129">
        <v>39245</v>
      </c>
      <c r="D151" s="129"/>
      <c r="E151" s="129"/>
      <c r="F151" s="130"/>
      <c r="G151" s="131" t="s">
        <v>119</v>
      </c>
      <c r="H151" s="131" t="s">
        <v>120</v>
      </c>
      <c r="I151" s="131" t="s">
        <v>120</v>
      </c>
      <c r="J151" s="131" t="s">
        <v>158</v>
      </c>
      <c r="K151" s="131" t="s">
        <v>156</v>
      </c>
      <c r="L151" s="177">
        <v>17</v>
      </c>
      <c r="M151" s="131" t="str">
        <f>_xlfn.XLOOKUP(L151,[1]Auslegungsgrundlagen!$A$9:$A$100,[1]Auslegungsgrundlagen!$B$9:$B$100)</f>
        <v>Treppenhäuser/Magistrale</v>
      </c>
      <c r="N151" s="132">
        <v>51</v>
      </c>
      <c r="O151" s="132">
        <v>188.88</v>
      </c>
      <c r="P151" s="133">
        <v>0</v>
      </c>
      <c r="Q151" s="134"/>
      <c r="R151" s="135">
        <f>_xlfn.XLOOKUP(L151,[1]Auslegungsgrundlagen!$A$9:$A$100,[1]Auslegungsgrundlagen!$M$9:$M$100)</f>
        <v>0</v>
      </c>
      <c r="S151" s="136">
        <f>_xlfn.XLOOKUP(L151,[1]Auslegungsgrundlagen!$A$9:$A$100,[1]Auslegungsgrundlagen!$Q$9:$Q$100)*P151</f>
        <v>0</v>
      </c>
      <c r="T151" s="137">
        <v>0</v>
      </c>
      <c r="U151" s="137">
        <v>0</v>
      </c>
      <c r="V151" s="138">
        <v>0</v>
      </c>
      <c r="W151" s="139">
        <f t="shared" si="85"/>
        <v>0</v>
      </c>
      <c r="X151" s="140" t="s">
        <v>120</v>
      </c>
      <c r="Y151" s="137" t="s">
        <v>120</v>
      </c>
      <c r="Z151" s="141">
        <v>0</v>
      </c>
      <c r="AA151" s="142">
        <f t="shared" si="86"/>
        <v>0</v>
      </c>
      <c r="AB151" s="140" t="s">
        <v>120</v>
      </c>
      <c r="AC151" s="143" t="s">
        <v>120</v>
      </c>
      <c r="AD151" s="144">
        <v>0</v>
      </c>
      <c r="AE151" s="145">
        <f t="shared" si="87"/>
        <v>0</v>
      </c>
      <c r="AF151" s="146"/>
      <c r="AG151" s="140" t="s">
        <v>120</v>
      </c>
      <c r="AH151" s="143" t="s">
        <v>120</v>
      </c>
      <c r="AI151" s="144">
        <v>0</v>
      </c>
      <c r="AJ151" s="145">
        <f t="shared" si="88"/>
        <v>0</v>
      </c>
      <c r="AK151" s="146"/>
      <c r="AL151" s="147">
        <f t="shared" si="89"/>
        <v>0</v>
      </c>
      <c r="AM151" s="140" t="s">
        <v>120</v>
      </c>
      <c r="AN151" s="143" t="s">
        <v>120</v>
      </c>
      <c r="AO151" s="144">
        <v>0</v>
      </c>
      <c r="AP151" s="148">
        <v>0</v>
      </c>
      <c r="AQ151" s="142">
        <f t="shared" si="90"/>
        <v>0</v>
      </c>
      <c r="AR151" s="140" t="s">
        <v>120</v>
      </c>
      <c r="AS151" s="143" t="s">
        <v>120</v>
      </c>
      <c r="AT151" s="144">
        <v>0</v>
      </c>
      <c r="AU151" s="149">
        <v>0</v>
      </c>
      <c r="AV151" s="145">
        <f t="shared" si="91"/>
        <v>0</v>
      </c>
      <c r="AW151" s="146"/>
      <c r="AX151" s="140" t="s">
        <v>120</v>
      </c>
      <c r="AY151" s="143" t="s">
        <v>120</v>
      </c>
      <c r="AZ151" s="144">
        <v>0</v>
      </c>
      <c r="BA151" s="149">
        <v>0</v>
      </c>
      <c r="BB151" s="145">
        <f t="shared" si="92"/>
        <v>0</v>
      </c>
      <c r="BC151" s="150"/>
      <c r="BD151" s="151">
        <f t="shared" si="93"/>
        <v>0</v>
      </c>
      <c r="BE151" s="152">
        <f t="shared" si="94"/>
        <v>0</v>
      </c>
      <c r="BF151" s="140" t="s">
        <v>120</v>
      </c>
      <c r="BG151" s="153" t="s">
        <v>120</v>
      </c>
      <c r="BH151" s="154" t="s">
        <v>120</v>
      </c>
      <c r="BI151" s="155" t="s">
        <v>120</v>
      </c>
      <c r="BJ151" s="156" t="s">
        <v>120</v>
      </c>
      <c r="BK151" s="157"/>
      <c r="BL151" s="158">
        <f>_xlfn.XLOOKUP(L151,[1]Auslegungsgrundlagen!$A$9:$A$100,[1]Auslegungsgrundlagen!$U$9:$U$100)</f>
        <v>25</v>
      </c>
      <c r="BM151" s="137">
        <v>0</v>
      </c>
      <c r="BN151" s="159">
        <v>0</v>
      </c>
      <c r="BO151" s="152">
        <f t="shared" si="95"/>
        <v>1.28</v>
      </c>
      <c r="BP151" s="140" t="s">
        <v>12</v>
      </c>
      <c r="BQ151" s="143">
        <f t="shared" ref="BQ151" si="102">BO151*1000</f>
        <v>1280</v>
      </c>
      <c r="BR151" s="160">
        <v>1</v>
      </c>
      <c r="BS151" s="142">
        <f t="shared" si="96"/>
        <v>1.28</v>
      </c>
      <c r="BT151" s="140" t="s">
        <v>120</v>
      </c>
      <c r="BU151" s="143" t="s">
        <v>120</v>
      </c>
      <c r="BV151" s="160">
        <v>0</v>
      </c>
      <c r="BW151" s="145">
        <f t="shared" si="97"/>
        <v>0</v>
      </c>
      <c r="BX151" s="146"/>
      <c r="BY151" s="140" t="s">
        <v>120</v>
      </c>
      <c r="BZ151" s="143" t="s">
        <v>120</v>
      </c>
      <c r="CA151" s="160">
        <v>0</v>
      </c>
      <c r="CB151" s="145">
        <f t="shared" si="98"/>
        <v>0</v>
      </c>
      <c r="CC151" s="146"/>
      <c r="CD151" s="151">
        <f t="shared" si="99"/>
        <v>1.28</v>
      </c>
      <c r="CE151" s="161" t="s">
        <v>120</v>
      </c>
      <c r="CF151" s="162" t="s">
        <v>120</v>
      </c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</row>
    <row r="152" spans="1:256" ht="12.3">
      <c r="A152" s="128" t="s">
        <v>123</v>
      </c>
      <c r="B152" s="129">
        <v>3930</v>
      </c>
      <c r="C152" s="129">
        <v>12255</v>
      </c>
      <c r="D152" s="129"/>
      <c r="E152" s="129"/>
      <c r="F152" s="130"/>
      <c r="G152" s="131" t="s">
        <v>119</v>
      </c>
      <c r="H152" s="131" t="s">
        <v>120</v>
      </c>
      <c r="I152" s="131" t="s">
        <v>120</v>
      </c>
      <c r="J152" s="131" t="s">
        <v>124</v>
      </c>
      <c r="K152" s="131" t="s">
        <v>125</v>
      </c>
      <c r="L152" s="177">
        <v>11</v>
      </c>
      <c r="M152" s="131" t="str">
        <f>_xlfn.XLOOKUP(L152,[1]Auslegungsgrundlagen!$A$9:$A$100,[1]Auslegungsgrundlagen!$B$9:$B$100)</f>
        <v>Lager innenliegend</v>
      </c>
      <c r="N152" s="132">
        <v>9</v>
      </c>
      <c r="O152" s="132">
        <v>34.450000000000003</v>
      </c>
      <c r="P152" s="133">
        <v>0</v>
      </c>
      <c r="Q152" s="134"/>
      <c r="R152" s="135">
        <f>_xlfn.XLOOKUP(L152,[1]Auslegungsgrundlagen!$A$9:$A$100,[1]Auslegungsgrundlagen!$M$9:$M$100)</f>
        <v>0</v>
      </c>
      <c r="S152" s="136">
        <f>_xlfn.XLOOKUP(L152,[1]Auslegungsgrundlagen!$A$9:$A$100,[1]Auslegungsgrundlagen!$Q$9:$Q$100)*P152</f>
        <v>0</v>
      </c>
      <c r="T152" s="137">
        <v>0</v>
      </c>
      <c r="U152" s="137">
        <v>0</v>
      </c>
      <c r="V152" s="138">
        <v>0</v>
      </c>
      <c r="W152" s="139">
        <f t="shared" si="85"/>
        <v>0</v>
      </c>
      <c r="X152" s="140" t="s">
        <v>120</v>
      </c>
      <c r="Y152" s="137" t="s">
        <v>120</v>
      </c>
      <c r="Z152" s="141">
        <v>0</v>
      </c>
      <c r="AA152" s="142">
        <f t="shared" si="86"/>
        <v>0</v>
      </c>
      <c r="AB152" s="140" t="s">
        <v>120</v>
      </c>
      <c r="AC152" s="143" t="s">
        <v>120</v>
      </c>
      <c r="AD152" s="144">
        <v>0</v>
      </c>
      <c r="AE152" s="145">
        <f t="shared" si="87"/>
        <v>0</v>
      </c>
      <c r="AF152" s="146"/>
      <c r="AG152" s="140" t="s">
        <v>120</v>
      </c>
      <c r="AH152" s="143" t="s">
        <v>120</v>
      </c>
      <c r="AI152" s="144">
        <v>0</v>
      </c>
      <c r="AJ152" s="145">
        <f t="shared" si="88"/>
        <v>0</v>
      </c>
      <c r="AK152" s="146"/>
      <c r="AL152" s="147">
        <f t="shared" si="89"/>
        <v>0</v>
      </c>
      <c r="AM152" s="140" t="s">
        <v>120</v>
      </c>
      <c r="AN152" s="143" t="s">
        <v>120</v>
      </c>
      <c r="AO152" s="144">
        <v>0</v>
      </c>
      <c r="AP152" s="148">
        <v>0</v>
      </c>
      <c r="AQ152" s="142">
        <f t="shared" si="90"/>
        <v>0</v>
      </c>
      <c r="AR152" s="140" t="s">
        <v>120</v>
      </c>
      <c r="AS152" s="143" t="s">
        <v>120</v>
      </c>
      <c r="AT152" s="144">
        <v>0</v>
      </c>
      <c r="AU152" s="149">
        <v>0</v>
      </c>
      <c r="AV152" s="145">
        <f t="shared" si="91"/>
        <v>0</v>
      </c>
      <c r="AW152" s="146"/>
      <c r="AX152" s="140" t="s">
        <v>120</v>
      </c>
      <c r="AY152" s="143" t="s">
        <v>120</v>
      </c>
      <c r="AZ152" s="144">
        <v>0</v>
      </c>
      <c r="BA152" s="149">
        <v>0</v>
      </c>
      <c r="BB152" s="145">
        <f t="shared" si="92"/>
        <v>0</v>
      </c>
      <c r="BC152" s="150"/>
      <c r="BD152" s="151">
        <f t="shared" si="93"/>
        <v>0</v>
      </c>
      <c r="BE152" s="152">
        <f t="shared" si="94"/>
        <v>0</v>
      </c>
      <c r="BF152" s="140" t="s">
        <v>120</v>
      </c>
      <c r="BG152" s="153" t="s">
        <v>120</v>
      </c>
      <c r="BH152" s="154" t="s">
        <v>120</v>
      </c>
      <c r="BI152" s="155" t="s">
        <v>120</v>
      </c>
      <c r="BJ152" s="156" t="s">
        <v>120</v>
      </c>
      <c r="BK152" s="157"/>
      <c r="BL152" s="158">
        <f>_xlfn.XLOOKUP(L152,[1]Auslegungsgrundlagen!$A$9:$A$100,[1]Auslegungsgrundlagen!$U$9:$U$100)</f>
        <v>0</v>
      </c>
      <c r="BM152" s="137">
        <v>0</v>
      </c>
      <c r="BN152" s="159">
        <v>0</v>
      </c>
      <c r="BO152" s="152">
        <f t="shared" si="95"/>
        <v>0</v>
      </c>
      <c r="BP152" s="140" t="s">
        <v>120</v>
      </c>
      <c r="BQ152" s="143" t="s">
        <v>120</v>
      </c>
      <c r="BR152" s="160">
        <v>0</v>
      </c>
      <c r="BS152" s="142">
        <f t="shared" si="96"/>
        <v>0</v>
      </c>
      <c r="BT152" s="140" t="s">
        <v>120</v>
      </c>
      <c r="BU152" s="143" t="s">
        <v>120</v>
      </c>
      <c r="BV152" s="160">
        <v>0</v>
      </c>
      <c r="BW152" s="145">
        <f t="shared" si="97"/>
        <v>0</v>
      </c>
      <c r="BX152" s="146"/>
      <c r="BY152" s="140" t="s">
        <v>120</v>
      </c>
      <c r="BZ152" s="143" t="s">
        <v>120</v>
      </c>
      <c r="CA152" s="160">
        <v>0</v>
      </c>
      <c r="CB152" s="145">
        <f t="shared" si="98"/>
        <v>0</v>
      </c>
      <c r="CC152" s="146"/>
      <c r="CD152" s="151">
        <f t="shared" si="99"/>
        <v>0</v>
      </c>
      <c r="CE152" s="161" t="s">
        <v>120</v>
      </c>
      <c r="CF152" s="162" t="s">
        <v>120</v>
      </c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</row>
    <row r="153" spans="1:256" ht="12.3">
      <c r="A153" s="128" t="s">
        <v>118</v>
      </c>
      <c r="B153" s="129">
        <v>3930</v>
      </c>
      <c r="C153" s="129">
        <v>11815</v>
      </c>
      <c r="D153" s="129"/>
      <c r="E153" s="129"/>
      <c r="F153" s="130"/>
      <c r="G153" s="131" t="s">
        <v>119</v>
      </c>
      <c r="H153" s="131" t="s">
        <v>120</v>
      </c>
      <c r="I153" s="131" t="s">
        <v>120</v>
      </c>
      <c r="J153" s="131" t="s">
        <v>121</v>
      </c>
      <c r="K153" s="131" t="s">
        <v>122</v>
      </c>
      <c r="L153" s="177">
        <v>19</v>
      </c>
      <c r="M153" s="131" t="str">
        <f>_xlfn.XLOOKUP(L153,[1]Auslegungsgrundlagen!$A$9:$A$100,[1]Auslegungsgrundlagen!$B$9:$B$100)</f>
        <v>Aufzüge</v>
      </c>
      <c r="N153" s="132">
        <v>9</v>
      </c>
      <c r="O153" s="132">
        <v>32.1</v>
      </c>
      <c r="P153" s="133">
        <v>0</v>
      </c>
      <c r="Q153" s="134"/>
      <c r="R153" s="135">
        <f>_xlfn.XLOOKUP(L153,[1]Auslegungsgrundlagen!$A$9:$A$100,[1]Auslegungsgrundlagen!$M$9:$M$100)</f>
        <v>0</v>
      </c>
      <c r="S153" s="136">
        <f>_xlfn.XLOOKUP(L153,[1]Auslegungsgrundlagen!$A$9:$A$100,[1]Auslegungsgrundlagen!$Q$9:$Q$100)*P153</f>
        <v>0</v>
      </c>
      <c r="T153" s="137">
        <v>0</v>
      </c>
      <c r="U153" s="137">
        <v>0</v>
      </c>
      <c r="V153" s="138">
        <v>0</v>
      </c>
      <c r="W153" s="139">
        <f t="shared" si="85"/>
        <v>0</v>
      </c>
      <c r="X153" s="140" t="s">
        <v>120</v>
      </c>
      <c r="Y153" s="137" t="s">
        <v>120</v>
      </c>
      <c r="Z153" s="141">
        <v>0</v>
      </c>
      <c r="AA153" s="142">
        <f t="shared" si="86"/>
        <v>0</v>
      </c>
      <c r="AB153" s="140" t="s">
        <v>120</v>
      </c>
      <c r="AC153" s="143" t="s">
        <v>120</v>
      </c>
      <c r="AD153" s="144">
        <v>0</v>
      </c>
      <c r="AE153" s="145">
        <f t="shared" si="87"/>
        <v>0</v>
      </c>
      <c r="AF153" s="146"/>
      <c r="AG153" s="140" t="s">
        <v>120</v>
      </c>
      <c r="AH153" s="143" t="s">
        <v>120</v>
      </c>
      <c r="AI153" s="144">
        <v>0</v>
      </c>
      <c r="AJ153" s="145">
        <f t="shared" si="88"/>
        <v>0</v>
      </c>
      <c r="AK153" s="146"/>
      <c r="AL153" s="147">
        <f t="shared" si="89"/>
        <v>0</v>
      </c>
      <c r="AM153" s="140" t="s">
        <v>120</v>
      </c>
      <c r="AN153" s="143" t="s">
        <v>120</v>
      </c>
      <c r="AO153" s="144">
        <v>0</v>
      </c>
      <c r="AP153" s="148">
        <v>0</v>
      </c>
      <c r="AQ153" s="142">
        <f t="shared" si="90"/>
        <v>0</v>
      </c>
      <c r="AR153" s="140" t="s">
        <v>120</v>
      </c>
      <c r="AS153" s="143" t="s">
        <v>120</v>
      </c>
      <c r="AT153" s="144">
        <v>0</v>
      </c>
      <c r="AU153" s="149">
        <v>0</v>
      </c>
      <c r="AV153" s="145">
        <f t="shared" si="91"/>
        <v>0</v>
      </c>
      <c r="AW153" s="146"/>
      <c r="AX153" s="140" t="s">
        <v>120</v>
      </c>
      <c r="AY153" s="143" t="s">
        <v>120</v>
      </c>
      <c r="AZ153" s="144">
        <v>0</v>
      </c>
      <c r="BA153" s="149">
        <v>0</v>
      </c>
      <c r="BB153" s="145">
        <f t="shared" si="92"/>
        <v>0</v>
      </c>
      <c r="BC153" s="150"/>
      <c r="BD153" s="151">
        <f t="shared" si="93"/>
        <v>0</v>
      </c>
      <c r="BE153" s="152">
        <f t="shared" si="94"/>
        <v>0</v>
      </c>
      <c r="BF153" s="140" t="s">
        <v>120</v>
      </c>
      <c r="BG153" s="153" t="s">
        <v>120</v>
      </c>
      <c r="BH153" s="154" t="s">
        <v>120</v>
      </c>
      <c r="BI153" s="155" t="s">
        <v>120</v>
      </c>
      <c r="BJ153" s="156" t="s">
        <v>120</v>
      </c>
      <c r="BK153" s="157"/>
      <c r="BL153" s="158">
        <f>_xlfn.XLOOKUP(L153,[1]Auslegungsgrundlagen!$A$9:$A$100,[1]Auslegungsgrundlagen!$U$9:$U$100)</f>
        <v>0</v>
      </c>
      <c r="BM153" s="137">
        <v>0</v>
      </c>
      <c r="BN153" s="159">
        <v>0</v>
      </c>
      <c r="BO153" s="152">
        <f t="shared" si="95"/>
        <v>0</v>
      </c>
      <c r="BP153" s="140" t="s">
        <v>120</v>
      </c>
      <c r="BQ153" s="143" t="s">
        <v>120</v>
      </c>
      <c r="BR153" s="160">
        <v>0</v>
      </c>
      <c r="BS153" s="142">
        <f t="shared" si="96"/>
        <v>0</v>
      </c>
      <c r="BT153" s="140" t="s">
        <v>120</v>
      </c>
      <c r="BU153" s="143" t="s">
        <v>120</v>
      </c>
      <c r="BV153" s="160">
        <v>0</v>
      </c>
      <c r="BW153" s="145">
        <f t="shared" si="97"/>
        <v>0</v>
      </c>
      <c r="BX153" s="146"/>
      <c r="BY153" s="140" t="s">
        <v>120</v>
      </c>
      <c r="BZ153" s="143" t="s">
        <v>120</v>
      </c>
      <c r="CA153" s="160">
        <v>0</v>
      </c>
      <c r="CB153" s="145">
        <f t="shared" si="98"/>
        <v>0</v>
      </c>
      <c r="CC153" s="146"/>
      <c r="CD153" s="151">
        <f t="shared" si="99"/>
        <v>0</v>
      </c>
      <c r="CE153" s="161" t="s">
        <v>120</v>
      </c>
      <c r="CF153" s="162" t="s">
        <v>120</v>
      </c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</row>
    <row r="154" spans="1:256" ht="12.3">
      <c r="A154" s="128" t="s">
        <v>151</v>
      </c>
      <c r="B154" s="129">
        <v>3930</v>
      </c>
      <c r="C154" s="129">
        <v>17945</v>
      </c>
      <c r="D154" s="129"/>
      <c r="E154" s="129"/>
      <c r="F154" s="130"/>
      <c r="G154" s="131" t="s">
        <v>119</v>
      </c>
      <c r="H154" s="131" t="s">
        <v>120</v>
      </c>
      <c r="I154" s="131" t="s">
        <v>120</v>
      </c>
      <c r="J154" s="131" t="s">
        <v>152</v>
      </c>
      <c r="K154" s="131" t="s">
        <v>153</v>
      </c>
      <c r="L154" s="177">
        <v>9</v>
      </c>
      <c r="M154" s="131" t="str">
        <f>_xlfn.XLOOKUP(L154,[1]Auslegungsgrundlagen!$A$9:$A$100,[1]Auslegungsgrundlagen!$B$9:$B$100)</f>
        <v>ELT-Zentrale</v>
      </c>
      <c r="N154" s="132">
        <v>20</v>
      </c>
      <c r="O154" s="132">
        <v>72.41</v>
      </c>
      <c r="P154" s="133">
        <v>0</v>
      </c>
      <c r="Q154" s="134"/>
      <c r="R154" s="135">
        <f>_xlfn.XLOOKUP(L154,[1]Auslegungsgrundlagen!$A$9:$A$100,[1]Auslegungsgrundlagen!$M$9:$M$100)</f>
        <v>0</v>
      </c>
      <c r="S154" s="136">
        <f>_xlfn.XLOOKUP(L154,[1]Auslegungsgrundlagen!$A$9:$A$100,[1]Auslegungsgrundlagen!$Q$9:$Q$100)*P154</f>
        <v>0</v>
      </c>
      <c r="T154" s="137">
        <v>5000</v>
      </c>
      <c r="U154" s="137">
        <v>0</v>
      </c>
      <c r="V154" s="138">
        <v>0</v>
      </c>
      <c r="W154" s="139">
        <f t="shared" si="85"/>
        <v>5</v>
      </c>
      <c r="X154" s="140" t="s">
        <v>11</v>
      </c>
      <c r="Y154" s="137">
        <v>5000</v>
      </c>
      <c r="Z154" s="141">
        <v>1</v>
      </c>
      <c r="AA154" s="142">
        <f t="shared" si="86"/>
        <v>5</v>
      </c>
      <c r="AB154" s="140" t="s">
        <v>120</v>
      </c>
      <c r="AC154" s="143" t="s">
        <v>120</v>
      </c>
      <c r="AD154" s="144">
        <v>0</v>
      </c>
      <c r="AE154" s="145">
        <f t="shared" si="87"/>
        <v>0</v>
      </c>
      <c r="AF154" s="146"/>
      <c r="AG154" s="140" t="s">
        <v>120</v>
      </c>
      <c r="AH154" s="143" t="s">
        <v>120</v>
      </c>
      <c r="AI154" s="144">
        <v>0</v>
      </c>
      <c r="AJ154" s="145">
        <f t="shared" si="88"/>
        <v>0</v>
      </c>
      <c r="AK154" s="146"/>
      <c r="AL154" s="147">
        <f t="shared" si="89"/>
        <v>5</v>
      </c>
      <c r="AM154" s="140" t="s">
        <v>120</v>
      </c>
      <c r="AN154" s="143" t="s">
        <v>120</v>
      </c>
      <c r="AO154" s="144">
        <v>0</v>
      </c>
      <c r="AP154" s="148">
        <v>0</v>
      </c>
      <c r="AQ154" s="142">
        <f t="shared" si="90"/>
        <v>0</v>
      </c>
      <c r="AR154" s="140" t="s">
        <v>120</v>
      </c>
      <c r="AS154" s="143" t="s">
        <v>120</v>
      </c>
      <c r="AT154" s="144">
        <v>0</v>
      </c>
      <c r="AU154" s="149">
        <v>0</v>
      </c>
      <c r="AV154" s="145">
        <f t="shared" si="91"/>
        <v>0</v>
      </c>
      <c r="AW154" s="146"/>
      <c r="AX154" s="140" t="s">
        <v>120</v>
      </c>
      <c r="AY154" s="143" t="s">
        <v>120</v>
      </c>
      <c r="AZ154" s="144">
        <v>0</v>
      </c>
      <c r="BA154" s="149">
        <v>0</v>
      </c>
      <c r="BB154" s="145">
        <f t="shared" si="92"/>
        <v>0</v>
      </c>
      <c r="BC154" s="150"/>
      <c r="BD154" s="151">
        <f t="shared" si="93"/>
        <v>0</v>
      </c>
      <c r="BE154" s="152">
        <f t="shared" si="94"/>
        <v>5</v>
      </c>
      <c r="BF154" s="140" t="s">
        <v>120</v>
      </c>
      <c r="BG154" s="153" t="s">
        <v>120</v>
      </c>
      <c r="BH154" s="154" t="s">
        <v>120</v>
      </c>
      <c r="BI154" s="155" t="s">
        <v>120</v>
      </c>
      <c r="BJ154" s="156" t="s">
        <v>120</v>
      </c>
      <c r="BK154" s="157"/>
      <c r="BL154" s="158">
        <f>_xlfn.XLOOKUP(L154,[1]Auslegungsgrundlagen!$A$9:$A$100,[1]Auslegungsgrundlagen!$U$9:$U$100)</f>
        <v>0</v>
      </c>
      <c r="BM154" s="137">
        <v>0</v>
      </c>
      <c r="BN154" s="159">
        <v>0</v>
      </c>
      <c r="BO154" s="152">
        <f t="shared" si="95"/>
        <v>0</v>
      </c>
      <c r="BP154" s="140" t="s">
        <v>120</v>
      </c>
      <c r="BQ154" s="143" t="s">
        <v>120</v>
      </c>
      <c r="BR154" s="160">
        <v>0</v>
      </c>
      <c r="BS154" s="142">
        <f t="shared" si="96"/>
        <v>0</v>
      </c>
      <c r="BT154" s="140" t="s">
        <v>120</v>
      </c>
      <c r="BU154" s="143" t="s">
        <v>120</v>
      </c>
      <c r="BV154" s="160">
        <v>0</v>
      </c>
      <c r="BW154" s="145">
        <f t="shared" si="97"/>
        <v>0</v>
      </c>
      <c r="BX154" s="146"/>
      <c r="BY154" s="140" t="s">
        <v>120</v>
      </c>
      <c r="BZ154" s="143" t="s">
        <v>120</v>
      </c>
      <c r="CA154" s="160">
        <v>0</v>
      </c>
      <c r="CB154" s="145">
        <f t="shared" si="98"/>
        <v>0</v>
      </c>
      <c r="CC154" s="146"/>
      <c r="CD154" s="151">
        <f t="shared" si="99"/>
        <v>0</v>
      </c>
      <c r="CE154" s="161" t="s">
        <v>120</v>
      </c>
      <c r="CF154" s="162" t="s">
        <v>120</v>
      </c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</row>
    <row r="155" spans="1:256" ht="12.3">
      <c r="A155" s="128" t="s">
        <v>128</v>
      </c>
      <c r="B155" s="129">
        <v>3930</v>
      </c>
      <c r="C155" s="129">
        <v>19871</v>
      </c>
      <c r="D155" s="129"/>
      <c r="E155" s="129"/>
      <c r="F155" s="130"/>
      <c r="G155" s="131" t="s">
        <v>119</v>
      </c>
      <c r="H155" s="131" t="s">
        <v>120</v>
      </c>
      <c r="I155" s="131" t="s">
        <v>120</v>
      </c>
      <c r="J155" s="131" t="s">
        <v>129</v>
      </c>
      <c r="K155" s="131" t="s">
        <v>130</v>
      </c>
      <c r="L155" s="177">
        <v>17</v>
      </c>
      <c r="M155" s="131" t="str">
        <f>_xlfn.XLOOKUP(L155,[1]Auslegungsgrundlagen!$A$9:$A$100,[1]Auslegungsgrundlagen!$B$9:$B$100)</f>
        <v>Treppenhäuser/Magistrale</v>
      </c>
      <c r="N155" s="132">
        <v>22</v>
      </c>
      <c r="O155" s="132">
        <v>81.66</v>
      </c>
      <c r="P155" s="133">
        <v>0</v>
      </c>
      <c r="Q155" s="134"/>
      <c r="R155" s="135">
        <f>_xlfn.XLOOKUP(L155,[1]Auslegungsgrundlagen!$A$9:$A$100,[1]Auslegungsgrundlagen!$M$9:$M$100)</f>
        <v>0</v>
      </c>
      <c r="S155" s="136">
        <f>_xlfn.XLOOKUP(L155,[1]Auslegungsgrundlagen!$A$9:$A$100,[1]Auslegungsgrundlagen!$Q$9:$Q$100)*P155</f>
        <v>0</v>
      </c>
      <c r="T155" s="137">
        <v>0</v>
      </c>
      <c r="U155" s="137">
        <v>0</v>
      </c>
      <c r="V155" s="138">
        <v>0</v>
      </c>
      <c r="W155" s="139">
        <f t="shared" si="85"/>
        <v>0</v>
      </c>
      <c r="X155" s="140" t="s">
        <v>120</v>
      </c>
      <c r="Y155" s="137" t="s">
        <v>120</v>
      </c>
      <c r="Z155" s="141">
        <v>0</v>
      </c>
      <c r="AA155" s="142">
        <f t="shared" si="86"/>
        <v>0</v>
      </c>
      <c r="AB155" s="140" t="s">
        <v>120</v>
      </c>
      <c r="AC155" s="143" t="s">
        <v>120</v>
      </c>
      <c r="AD155" s="144">
        <v>0</v>
      </c>
      <c r="AE155" s="145">
        <f t="shared" si="87"/>
        <v>0</v>
      </c>
      <c r="AF155" s="146"/>
      <c r="AG155" s="140" t="s">
        <v>120</v>
      </c>
      <c r="AH155" s="143" t="s">
        <v>120</v>
      </c>
      <c r="AI155" s="144">
        <v>0</v>
      </c>
      <c r="AJ155" s="145">
        <f t="shared" si="88"/>
        <v>0</v>
      </c>
      <c r="AK155" s="146"/>
      <c r="AL155" s="147">
        <f t="shared" si="89"/>
        <v>0</v>
      </c>
      <c r="AM155" s="140" t="s">
        <v>120</v>
      </c>
      <c r="AN155" s="143" t="s">
        <v>120</v>
      </c>
      <c r="AO155" s="144">
        <v>0</v>
      </c>
      <c r="AP155" s="148">
        <v>0</v>
      </c>
      <c r="AQ155" s="142">
        <f t="shared" si="90"/>
        <v>0</v>
      </c>
      <c r="AR155" s="140" t="s">
        <v>120</v>
      </c>
      <c r="AS155" s="143" t="s">
        <v>120</v>
      </c>
      <c r="AT155" s="144">
        <v>0</v>
      </c>
      <c r="AU155" s="149">
        <v>0</v>
      </c>
      <c r="AV155" s="145">
        <f t="shared" si="91"/>
        <v>0</v>
      </c>
      <c r="AW155" s="146"/>
      <c r="AX155" s="140" t="s">
        <v>120</v>
      </c>
      <c r="AY155" s="143" t="s">
        <v>120</v>
      </c>
      <c r="AZ155" s="144">
        <v>0</v>
      </c>
      <c r="BA155" s="149">
        <v>0</v>
      </c>
      <c r="BB155" s="145">
        <f t="shared" si="92"/>
        <v>0</v>
      </c>
      <c r="BC155" s="150"/>
      <c r="BD155" s="151">
        <f t="shared" si="93"/>
        <v>0</v>
      </c>
      <c r="BE155" s="152">
        <f t="shared" si="94"/>
        <v>0</v>
      </c>
      <c r="BF155" s="140" t="s">
        <v>120</v>
      </c>
      <c r="BG155" s="153" t="s">
        <v>120</v>
      </c>
      <c r="BH155" s="154" t="s">
        <v>120</v>
      </c>
      <c r="BI155" s="155" t="s">
        <v>120</v>
      </c>
      <c r="BJ155" s="156" t="s">
        <v>120</v>
      </c>
      <c r="BK155" s="157"/>
      <c r="BL155" s="158">
        <f>_xlfn.XLOOKUP(L155,[1]Auslegungsgrundlagen!$A$9:$A$100,[1]Auslegungsgrundlagen!$U$9:$U$100)</f>
        <v>25</v>
      </c>
      <c r="BM155" s="137">
        <v>0</v>
      </c>
      <c r="BN155" s="159">
        <v>0</v>
      </c>
      <c r="BO155" s="152">
        <f t="shared" si="95"/>
        <v>0.55000000000000004</v>
      </c>
      <c r="BP155" s="140" t="s">
        <v>12</v>
      </c>
      <c r="BQ155" s="143">
        <f t="shared" ref="BQ155" si="103">BO155*1000</f>
        <v>550</v>
      </c>
      <c r="BR155" s="160">
        <v>1</v>
      </c>
      <c r="BS155" s="142">
        <f t="shared" si="96"/>
        <v>0.55000000000000004</v>
      </c>
      <c r="BT155" s="140" t="s">
        <v>120</v>
      </c>
      <c r="BU155" s="143" t="s">
        <v>120</v>
      </c>
      <c r="BV155" s="160">
        <v>0</v>
      </c>
      <c r="BW155" s="145">
        <f t="shared" si="97"/>
        <v>0</v>
      </c>
      <c r="BX155" s="146"/>
      <c r="BY155" s="140" t="s">
        <v>120</v>
      </c>
      <c r="BZ155" s="143" t="s">
        <v>120</v>
      </c>
      <c r="CA155" s="160">
        <v>0</v>
      </c>
      <c r="CB155" s="145">
        <f t="shared" si="98"/>
        <v>0</v>
      </c>
      <c r="CC155" s="146"/>
      <c r="CD155" s="151">
        <f t="shared" si="99"/>
        <v>0.55000000000000004</v>
      </c>
      <c r="CE155" s="161" t="s">
        <v>120</v>
      </c>
      <c r="CF155" s="162" t="s">
        <v>120</v>
      </c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</row>
    <row r="156" spans="1:256" ht="12.3">
      <c r="A156" s="128" t="s">
        <v>131</v>
      </c>
      <c r="B156" s="129">
        <v>3930</v>
      </c>
      <c r="C156" s="129">
        <v>14461</v>
      </c>
      <c r="D156" s="129"/>
      <c r="E156" s="129"/>
      <c r="F156" s="130"/>
      <c r="G156" s="131" t="s">
        <v>119</v>
      </c>
      <c r="H156" s="131" t="s">
        <v>120</v>
      </c>
      <c r="I156" s="131" t="s">
        <v>120</v>
      </c>
      <c r="J156" s="131" t="s">
        <v>132</v>
      </c>
      <c r="K156" s="131" t="s">
        <v>133</v>
      </c>
      <c r="L156" s="177">
        <v>12</v>
      </c>
      <c r="M156" s="131" t="str">
        <f>_xlfn.XLOOKUP(L156,[1]Auslegungsgrundlagen!$A$9:$A$100,[1]Auslegungsgrundlagen!$B$9:$B$100)</f>
        <v>TGA-Zentrale</v>
      </c>
      <c r="N156" s="132">
        <v>13</v>
      </c>
      <c r="O156" s="132">
        <v>47.95</v>
      </c>
      <c r="P156" s="133">
        <v>0</v>
      </c>
      <c r="Q156" s="134"/>
      <c r="R156" s="135">
        <f>_xlfn.XLOOKUP(L156,[1]Auslegungsgrundlagen!$A$9:$A$100,[1]Auslegungsgrundlagen!$M$9:$M$100)</f>
        <v>0</v>
      </c>
      <c r="S156" s="136">
        <f>_xlfn.XLOOKUP(L156,[1]Auslegungsgrundlagen!$A$9:$A$100,[1]Auslegungsgrundlagen!$Q$9:$Q$100)*P156</f>
        <v>0</v>
      </c>
      <c r="T156" s="137">
        <v>0</v>
      </c>
      <c r="U156" s="137">
        <v>0</v>
      </c>
      <c r="V156" s="138">
        <v>0</v>
      </c>
      <c r="W156" s="139">
        <f t="shared" si="85"/>
        <v>0</v>
      </c>
      <c r="X156" s="140" t="s">
        <v>120</v>
      </c>
      <c r="Y156" s="137" t="s">
        <v>120</v>
      </c>
      <c r="Z156" s="141">
        <v>0</v>
      </c>
      <c r="AA156" s="142">
        <f t="shared" si="86"/>
        <v>0</v>
      </c>
      <c r="AB156" s="140" t="s">
        <v>120</v>
      </c>
      <c r="AC156" s="143" t="s">
        <v>120</v>
      </c>
      <c r="AD156" s="144">
        <v>0</v>
      </c>
      <c r="AE156" s="145">
        <f t="shared" si="87"/>
        <v>0</v>
      </c>
      <c r="AF156" s="146"/>
      <c r="AG156" s="140" t="s">
        <v>120</v>
      </c>
      <c r="AH156" s="143" t="s">
        <v>120</v>
      </c>
      <c r="AI156" s="144">
        <v>0</v>
      </c>
      <c r="AJ156" s="145">
        <f t="shared" si="88"/>
        <v>0</v>
      </c>
      <c r="AK156" s="146"/>
      <c r="AL156" s="147">
        <f t="shared" si="89"/>
        <v>0</v>
      </c>
      <c r="AM156" s="140" t="s">
        <v>120</v>
      </c>
      <c r="AN156" s="143" t="s">
        <v>120</v>
      </c>
      <c r="AO156" s="144">
        <v>0</v>
      </c>
      <c r="AP156" s="148">
        <v>0</v>
      </c>
      <c r="AQ156" s="142">
        <f t="shared" si="90"/>
        <v>0</v>
      </c>
      <c r="AR156" s="140" t="s">
        <v>120</v>
      </c>
      <c r="AS156" s="143" t="s">
        <v>120</v>
      </c>
      <c r="AT156" s="144">
        <v>0</v>
      </c>
      <c r="AU156" s="149">
        <v>0</v>
      </c>
      <c r="AV156" s="145">
        <f t="shared" si="91"/>
        <v>0</v>
      </c>
      <c r="AW156" s="146"/>
      <c r="AX156" s="140" t="s">
        <v>120</v>
      </c>
      <c r="AY156" s="143" t="s">
        <v>120</v>
      </c>
      <c r="AZ156" s="144">
        <v>0</v>
      </c>
      <c r="BA156" s="149">
        <v>0</v>
      </c>
      <c r="BB156" s="145">
        <f t="shared" si="92"/>
        <v>0</v>
      </c>
      <c r="BC156" s="150"/>
      <c r="BD156" s="151">
        <f t="shared" si="93"/>
        <v>0</v>
      </c>
      <c r="BE156" s="152">
        <f t="shared" si="94"/>
        <v>0</v>
      </c>
      <c r="BF156" s="140" t="s">
        <v>120</v>
      </c>
      <c r="BG156" s="153" t="s">
        <v>120</v>
      </c>
      <c r="BH156" s="154" t="s">
        <v>120</v>
      </c>
      <c r="BI156" s="155" t="s">
        <v>120</v>
      </c>
      <c r="BJ156" s="156" t="s">
        <v>120</v>
      </c>
      <c r="BK156" s="157"/>
      <c r="BL156" s="158">
        <f>_xlfn.XLOOKUP(L156,[1]Auslegungsgrundlagen!$A$9:$A$100,[1]Auslegungsgrundlagen!$U$9:$U$100)</f>
        <v>0</v>
      </c>
      <c r="BM156" s="137">
        <v>0</v>
      </c>
      <c r="BN156" s="159">
        <v>0</v>
      </c>
      <c r="BO156" s="152">
        <f t="shared" si="95"/>
        <v>0</v>
      </c>
      <c r="BP156" s="140"/>
      <c r="BQ156" s="143"/>
      <c r="BR156" s="160">
        <v>0</v>
      </c>
      <c r="BS156" s="142">
        <f t="shared" si="96"/>
        <v>0</v>
      </c>
      <c r="BT156" s="140" t="s">
        <v>120</v>
      </c>
      <c r="BU156" s="143" t="s">
        <v>120</v>
      </c>
      <c r="BV156" s="160">
        <v>0</v>
      </c>
      <c r="BW156" s="145">
        <f t="shared" si="97"/>
        <v>0</v>
      </c>
      <c r="BX156" s="146"/>
      <c r="BY156" s="140" t="s">
        <v>120</v>
      </c>
      <c r="BZ156" s="143" t="s">
        <v>120</v>
      </c>
      <c r="CA156" s="160">
        <v>0</v>
      </c>
      <c r="CB156" s="145">
        <f t="shared" si="98"/>
        <v>0</v>
      </c>
      <c r="CC156" s="146"/>
      <c r="CD156" s="151">
        <f t="shared" si="99"/>
        <v>0</v>
      </c>
      <c r="CE156" s="161" t="s">
        <v>120</v>
      </c>
      <c r="CF156" s="162" t="s">
        <v>120</v>
      </c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</row>
    <row r="157" spans="1:256" ht="12.3">
      <c r="A157" s="128" t="s">
        <v>162</v>
      </c>
      <c r="B157" s="129">
        <v>4430</v>
      </c>
      <c r="C157" s="129">
        <v>57665</v>
      </c>
      <c r="D157" s="129"/>
      <c r="E157" s="129"/>
      <c r="F157" s="130"/>
      <c r="G157" s="131" t="s">
        <v>119</v>
      </c>
      <c r="H157" s="131" t="s">
        <v>120</v>
      </c>
      <c r="I157" s="131" t="s">
        <v>120</v>
      </c>
      <c r="J157" s="131" t="s">
        <v>163</v>
      </c>
      <c r="K157" s="131" t="s">
        <v>164</v>
      </c>
      <c r="L157" s="177">
        <v>12</v>
      </c>
      <c r="M157" s="131" t="str">
        <f>_xlfn.XLOOKUP(L157,[1]Auslegungsgrundlagen!$A$9:$A$100,[1]Auslegungsgrundlagen!$B$9:$B$100)</f>
        <v>TGA-Zentrale</v>
      </c>
      <c r="N157" s="132">
        <v>146</v>
      </c>
      <c r="O157" s="132">
        <v>609.74</v>
      </c>
      <c r="P157" s="133">
        <v>0</v>
      </c>
      <c r="Q157" s="134"/>
      <c r="R157" s="135">
        <f>_xlfn.XLOOKUP(L157,[1]Auslegungsgrundlagen!$A$9:$A$100,[1]Auslegungsgrundlagen!$M$9:$M$100)</f>
        <v>0</v>
      </c>
      <c r="S157" s="136">
        <f>_xlfn.XLOOKUP(L157,[1]Auslegungsgrundlagen!$A$9:$A$100,[1]Auslegungsgrundlagen!$Q$9:$Q$100)*P157</f>
        <v>0</v>
      </c>
      <c r="T157" s="137">
        <v>0</v>
      </c>
      <c r="U157" s="137">
        <v>0</v>
      </c>
      <c r="V157" s="138">
        <v>0</v>
      </c>
      <c r="W157" s="139">
        <f t="shared" si="85"/>
        <v>0</v>
      </c>
      <c r="X157" s="140" t="s">
        <v>120</v>
      </c>
      <c r="Y157" s="137" t="s">
        <v>120</v>
      </c>
      <c r="Z157" s="141">
        <v>0</v>
      </c>
      <c r="AA157" s="142">
        <f t="shared" si="86"/>
        <v>0</v>
      </c>
      <c r="AB157" s="140" t="s">
        <v>120</v>
      </c>
      <c r="AC157" s="143" t="s">
        <v>120</v>
      </c>
      <c r="AD157" s="144">
        <v>0</v>
      </c>
      <c r="AE157" s="145">
        <f t="shared" si="87"/>
        <v>0</v>
      </c>
      <c r="AF157" s="146"/>
      <c r="AG157" s="140" t="s">
        <v>120</v>
      </c>
      <c r="AH157" s="143" t="s">
        <v>120</v>
      </c>
      <c r="AI157" s="144">
        <v>0</v>
      </c>
      <c r="AJ157" s="145">
        <f t="shared" si="88"/>
        <v>0</v>
      </c>
      <c r="AK157" s="146"/>
      <c r="AL157" s="147">
        <f t="shared" si="89"/>
        <v>0</v>
      </c>
      <c r="AM157" s="140" t="s">
        <v>120</v>
      </c>
      <c r="AN157" s="143" t="s">
        <v>120</v>
      </c>
      <c r="AO157" s="144">
        <v>0</v>
      </c>
      <c r="AP157" s="148">
        <v>0</v>
      </c>
      <c r="AQ157" s="142">
        <f t="shared" si="90"/>
        <v>0</v>
      </c>
      <c r="AR157" s="140" t="s">
        <v>120</v>
      </c>
      <c r="AS157" s="143" t="s">
        <v>120</v>
      </c>
      <c r="AT157" s="144">
        <v>0</v>
      </c>
      <c r="AU157" s="149">
        <v>0</v>
      </c>
      <c r="AV157" s="145">
        <f t="shared" si="91"/>
        <v>0</v>
      </c>
      <c r="AW157" s="146"/>
      <c r="AX157" s="140" t="s">
        <v>120</v>
      </c>
      <c r="AY157" s="143" t="s">
        <v>120</v>
      </c>
      <c r="AZ157" s="144">
        <v>0</v>
      </c>
      <c r="BA157" s="149">
        <v>0</v>
      </c>
      <c r="BB157" s="145">
        <f t="shared" si="92"/>
        <v>0</v>
      </c>
      <c r="BC157" s="150"/>
      <c r="BD157" s="151">
        <f t="shared" si="93"/>
        <v>0</v>
      </c>
      <c r="BE157" s="152">
        <f t="shared" si="94"/>
        <v>0</v>
      </c>
      <c r="BF157" s="140" t="s">
        <v>120</v>
      </c>
      <c r="BG157" s="153" t="s">
        <v>120</v>
      </c>
      <c r="BH157" s="154" t="s">
        <v>120</v>
      </c>
      <c r="BI157" s="155" t="s">
        <v>120</v>
      </c>
      <c r="BJ157" s="156" t="s">
        <v>120</v>
      </c>
      <c r="BK157" s="157"/>
      <c r="BL157" s="158">
        <f>_xlfn.XLOOKUP(L157,[1]Auslegungsgrundlagen!$A$9:$A$100,[1]Auslegungsgrundlagen!$U$9:$U$100)</f>
        <v>0</v>
      </c>
      <c r="BM157" s="137">
        <v>0</v>
      </c>
      <c r="BN157" s="159">
        <v>0</v>
      </c>
      <c r="BO157" s="152">
        <f t="shared" si="95"/>
        <v>0</v>
      </c>
      <c r="BP157" s="140"/>
      <c r="BQ157" s="143"/>
      <c r="BR157" s="160">
        <v>0</v>
      </c>
      <c r="BS157" s="142">
        <f t="shared" si="96"/>
        <v>0</v>
      </c>
      <c r="BT157" s="140" t="s">
        <v>120</v>
      </c>
      <c r="BU157" s="143" t="s">
        <v>120</v>
      </c>
      <c r="BV157" s="160">
        <v>0</v>
      </c>
      <c r="BW157" s="145">
        <f t="shared" si="97"/>
        <v>0</v>
      </c>
      <c r="BX157" s="146"/>
      <c r="BY157" s="140" t="s">
        <v>120</v>
      </c>
      <c r="BZ157" s="143" t="s">
        <v>120</v>
      </c>
      <c r="CA157" s="160">
        <v>0</v>
      </c>
      <c r="CB157" s="145">
        <f t="shared" si="98"/>
        <v>0</v>
      </c>
      <c r="CC157" s="146"/>
      <c r="CD157" s="151">
        <f t="shared" si="99"/>
        <v>0</v>
      </c>
      <c r="CE157" s="161" t="s">
        <v>120</v>
      </c>
      <c r="CF157" s="162" t="s">
        <v>120</v>
      </c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</row>
    <row r="158" spans="1:256" ht="12.3">
      <c r="A158" s="128" t="s">
        <v>126</v>
      </c>
      <c r="B158" s="129">
        <v>3930</v>
      </c>
      <c r="C158" s="129">
        <v>26115</v>
      </c>
      <c r="D158" s="129"/>
      <c r="E158" s="129"/>
      <c r="F158" s="130"/>
      <c r="G158" s="131" t="s">
        <v>119</v>
      </c>
      <c r="H158" s="131" t="s">
        <v>120</v>
      </c>
      <c r="I158" s="131" t="s">
        <v>120</v>
      </c>
      <c r="J158" s="131" t="s">
        <v>127</v>
      </c>
      <c r="K158" s="131" t="s">
        <v>125</v>
      </c>
      <c r="L158" s="177">
        <v>11</v>
      </c>
      <c r="M158" s="131" t="str">
        <f>_xlfn.XLOOKUP(L158,[1]Auslegungsgrundlagen!$A$9:$A$100,[1]Auslegungsgrundlagen!$B$9:$B$100)</f>
        <v>Lager innenliegend</v>
      </c>
      <c r="N158" s="132">
        <v>43</v>
      </c>
      <c r="O158" s="132">
        <v>156.86000000000001</v>
      </c>
      <c r="P158" s="133">
        <v>0</v>
      </c>
      <c r="Q158" s="134"/>
      <c r="R158" s="135">
        <f>_xlfn.XLOOKUP(L158,[1]Auslegungsgrundlagen!$A$9:$A$100,[1]Auslegungsgrundlagen!$M$9:$M$100)</f>
        <v>0</v>
      </c>
      <c r="S158" s="136">
        <f>_xlfn.XLOOKUP(L158,[1]Auslegungsgrundlagen!$A$9:$A$100,[1]Auslegungsgrundlagen!$Q$9:$Q$100)*P158</f>
        <v>0</v>
      </c>
      <c r="T158" s="137">
        <v>0</v>
      </c>
      <c r="U158" s="137">
        <v>0</v>
      </c>
      <c r="V158" s="138">
        <v>0</v>
      </c>
      <c r="W158" s="139">
        <f t="shared" si="85"/>
        <v>0</v>
      </c>
      <c r="X158" s="140" t="s">
        <v>120</v>
      </c>
      <c r="Y158" s="137" t="s">
        <v>120</v>
      </c>
      <c r="Z158" s="141">
        <v>0</v>
      </c>
      <c r="AA158" s="142">
        <f t="shared" si="86"/>
        <v>0</v>
      </c>
      <c r="AB158" s="140" t="s">
        <v>120</v>
      </c>
      <c r="AC158" s="143" t="s">
        <v>120</v>
      </c>
      <c r="AD158" s="144">
        <v>0</v>
      </c>
      <c r="AE158" s="145">
        <f t="shared" si="87"/>
        <v>0</v>
      </c>
      <c r="AF158" s="146"/>
      <c r="AG158" s="140" t="s">
        <v>120</v>
      </c>
      <c r="AH158" s="143" t="s">
        <v>120</v>
      </c>
      <c r="AI158" s="144">
        <v>0</v>
      </c>
      <c r="AJ158" s="145">
        <f t="shared" si="88"/>
        <v>0</v>
      </c>
      <c r="AK158" s="146"/>
      <c r="AL158" s="147">
        <f t="shared" si="89"/>
        <v>0</v>
      </c>
      <c r="AM158" s="140" t="s">
        <v>120</v>
      </c>
      <c r="AN158" s="143" t="s">
        <v>120</v>
      </c>
      <c r="AO158" s="144">
        <v>0</v>
      </c>
      <c r="AP158" s="148">
        <v>0</v>
      </c>
      <c r="AQ158" s="142">
        <f t="shared" si="90"/>
        <v>0</v>
      </c>
      <c r="AR158" s="140" t="s">
        <v>120</v>
      </c>
      <c r="AS158" s="143" t="s">
        <v>120</v>
      </c>
      <c r="AT158" s="144">
        <v>0</v>
      </c>
      <c r="AU158" s="149">
        <v>0</v>
      </c>
      <c r="AV158" s="145">
        <f t="shared" si="91"/>
        <v>0</v>
      </c>
      <c r="AW158" s="146"/>
      <c r="AX158" s="140" t="s">
        <v>120</v>
      </c>
      <c r="AY158" s="143" t="s">
        <v>120</v>
      </c>
      <c r="AZ158" s="144">
        <v>0</v>
      </c>
      <c r="BA158" s="149">
        <v>0</v>
      </c>
      <c r="BB158" s="145">
        <f t="shared" si="92"/>
        <v>0</v>
      </c>
      <c r="BC158" s="150"/>
      <c r="BD158" s="151">
        <f t="shared" si="93"/>
        <v>0</v>
      </c>
      <c r="BE158" s="152">
        <f t="shared" si="94"/>
        <v>0</v>
      </c>
      <c r="BF158" s="140" t="s">
        <v>120</v>
      </c>
      <c r="BG158" s="153" t="s">
        <v>120</v>
      </c>
      <c r="BH158" s="154" t="s">
        <v>120</v>
      </c>
      <c r="BI158" s="155" t="s">
        <v>120</v>
      </c>
      <c r="BJ158" s="156" t="s">
        <v>120</v>
      </c>
      <c r="BK158" s="157"/>
      <c r="BL158" s="158">
        <f>_xlfn.XLOOKUP(L158,[1]Auslegungsgrundlagen!$A$9:$A$100,[1]Auslegungsgrundlagen!$U$9:$U$100)</f>
        <v>0</v>
      </c>
      <c r="BM158" s="137">
        <v>0</v>
      </c>
      <c r="BN158" s="159">
        <v>0</v>
      </c>
      <c r="BO158" s="152">
        <f t="shared" si="95"/>
        <v>0</v>
      </c>
      <c r="BP158" s="140" t="s">
        <v>120</v>
      </c>
      <c r="BQ158" s="143" t="s">
        <v>120</v>
      </c>
      <c r="BR158" s="160">
        <v>0</v>
      </c>
      <c r="BS158" s="142">
        <f t="shared" si="96"/>
        <v>0</v>
      </c>
      <c r="BT158" s="140" t="s">
        <v>120</v>
      </c>
      <c r="BU158" s="143" t="s">
        <v>120</v>
      </c>
      <c r="BV158" s="160">
        <v>0</v>
      </c>
      <c r="BW158" s="145">
        <f t="shared" si="97"/>
        <v>0</v>
      </c>
      <c r="BX158" s="146"/>
      <c r="BY158" s="140" t="s">
        <v>120</v>
      </c>
      <c r="BZ158" s="143" t="s">
        <v>120</v>
      </c>
      <c r="CA158" s="160">
        <v>0</v>
      </c>
      <c r="CB158" s="145">
        <f t="shared" si="98"/>
        <v>0</v>
      </c>
      <c r="CC158" s="146"/>
      <c r="CD158" s="151">
        <f t="shared" si="99"/>
        <v>0</v>
      </c>
      <c r="CE158" s="161" t="s">
        <v>120</v>
      </c>
      <c r="CF158" s="162" t="s">
        <v>120</v>
      </c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</row>
    <row r="159" spans="1:256" ht="12.3">
      <c r="A159" s="128" t="s">
        <v>134</v>
      </c>
      <c r="B159" s="129">
        <v>3930</v>
      </c>
      <c r="C159" s="129">
        <v>29705</v>
      </c>
      <c r="D159" s="129"/>
      <c r="E159" s="129"/>
      <c r="F159" s="130"/>
      <c r="G159" s="131" t="s">
        <v>119</v>
      </c>
      <c r="H159" s="131" t="s">
        <v>120</v>
      </c>
      <c r="I159" s="131" t="s">
        <v>120</v>
      </c>
      <c r="J159" s="131" t="s">
        <v>135</v>
      </c>
      <c r="K159" s="131" t="s">
        <v>125</v>
      </c>
      <c r="L159" s="177">
        <v>11</v>
      </c>
      <c r="M159" s="131" t="str">
        <f>_xlfn.XLOOKUP(L159,[1]Auslegungsgrundlagen!$A$9:$A$100,[1]Auslegungsgrundlagen!$B$9:$B$100)</f>
        <v>Lager innenliegend</v>
      </c>
      <c r="N159" s="132">
        <v>42</v>
      </c>
      <c r="O159" s="132">
        <v>154.96</v>
      </c>
      <c r="P159" s="133">
        <v>0</v>
      </c>
      <c r="Q159" s="134"/>
      <c r="R159" s="135">
        <f>_xlfn.XLOOKUP(L159,[1]Auslegungsgrundlagen!$A$9:$A$100,[1]Auslegungsgrundlagen!$M$9:$M$100)</f>
        <v>0</v>
      </c>
      <c r="S159" s="136">
        <f>_xlfn.XLOOKUP(L159,[1]Auslegungsgrundlagen!$A$9:$A$100,[1]Auslegungsgrundlagen!$Q$9:$Q$100)*P159</f>
        <v>0</v>
      </c>
      <c r="T159" s="137">
        <v>0</v>
      </c>
      <c r="U159" s="137">
        <v>0</v>
      </c>
      <c r="V159" s="138">
        <v>0</v>
      </c>
      <c r="W159" s="139">
        <f t="shared" si="85"/>
        <v>0</v>
      </c>
      <c r="X159" s="140" t="s">
        <v>120</v>
      </c>
      <c r="Y159" s="137" t="s">
        <v>120</v>
      </c>
      <c r="Z159" s="141">
        <v>0</v>
      </c>
      <c r="AA159" s="142">
        <f t="shared" si="86"/>
        <v>0</v>
      </c>
      <c r="AB159" s="140" t="s">
        <v>120</v>
      </c>
      <c r="AC159" s="143" t="s">
        <v>120</v>
      </c>
      <c r="AD159" s="144">
        <v>0</v>
      </c>
      <c r="AE159" s="145">
        <f t="shared" si="87"/>
        <v>0</v>
      </c>
      <c r="AF159" s="146"/>
      <c r="AG159" s="140" t="s">
        <v>120</v>
      </c>
      <c r="AH159" s="143" t="s">
        <v>120</v>
      </c>
      <c r="AI159" s="144">
        <v>0</v>
      </c>
      <c r="AJ159" s="145">
        <f t="shared" si="88"/>
        <v>0</v>
      </c>
      <c r="AK159" s="146"/>
      <c r="AL159" s="147">
        <f t="shared" si="89"/>
        <v>0</v>
      </c>
      <c r="AM159" s="140" t="s">
        <v>120</v>
      </c>
      <c r="AN159" s="143" t="s">
        <v>120</v>
      </c>
      <c r="AO159" s="144">
        <v>0</v>
      </c>
      <c r="AP159" s="148">
        <v>0</v>
      </c>
      <c r="AQ159" s="142">
        <f t="shared" si="90"/>
        <v>0</v>
      </c>
      <c r="AR159" s="140" t="s">
        <v>120</v>
      </c>
      <c r="AS159" s="143" t="s">
        <v>120</v>
      </c>
      <c r="AT159" s="144">
        <v>0</v>
      </c>
      <c r="AU159" s="149">
        <v>0</v>
      </c>
      <c r="AV159" s="145">
        <f t="shared" si="91"/>
        <v>0</v>
      </c>
      <c r="AW159" s="146"/>
      <c r="AX159" s="140" t="s">
        <v>120</v>
      </c>
      <c r="AY159" s="143" t="s">
        <v>120</v>
      </c>
      <c r="AZ159" s="144">
        <v>0</v>
      </c>
      <c r="BA159" s="149">
        <v>0</v>
      </c>
      <c r="BB159" s="145">
        <f t="shared" si="92"/>
        <v>0</v>
      </c>
      <c r="BC159" s="150"/>
      <c r="BD159" s="151">
        <f t="shared" si="93"/>
        <v>0</v>
      </c>
      <c r="BE159" s="152">
        <f t="shared" si="94"/>
        <v>0</v>
      </c>
      <c r="BF159" s="140" t="s">
        <v>120</v>
      </c>
      <c r="BG159" s="153" t="s">
        <v>120</v>
      </c>
      <c r="BH159" s="154" t="s">
        <v>120</v>
      </c>
      <c r="BI159" s="155" t="s">
        <v>120</v>
      </c>
      <c r="BJ159" s="156" t="s">
        <v>120</v>
      </c>
      <c r="BK159" s="157"/>
      <c r="BL159" s="158">
        <f>_xlfn.XLOOKUP(L159,[1]Auslegungsgrundlagen!$A$9:$A$100,[1]Auslegungsgrundlagen!$U$9:$U$100)</f>
        <v>0</v>
      </c>
      <c r="BM159" s="137">
        <v>0</v>
      </c>
      <c r="BN159" s="159">
        <v>0</v>
      </c>
      <c r="BO159" s="152">
        <f t="shared" si="95"/>
        <v>0</v>
      </c>
      <c r="BP159" s="140" t="s">
        <v>120</v>
      </c>
      <c r="BQ159" s="143" t="s">
        <v>120</v>
      </c>
      <c r="BR159" s="160">
        <v>0</v>
      </c>
      <c r="BS159" s="142">
        <f t="shared" si="96"/>
        <v>0</v>
      </c>
      <c r="BT159" s="140" t="s">
        <v>120</v>
      </c>
      <c r="BU159" s="143" t="s">
        <v>120</v>
      </c>
      <c r="BV159" s="160">
        <v>0</v>
      </c>
      <c r="BW159" s="145">
        <f t="shared" si="97"/>
        <v>0</v>
      </c>
      <c r="BX159" s="146"/>
      <c r="BY159" s="140" t="s">
        <v>120</v>
      </c>
      <c r="BZ159" s="143" t="s">
        <v>120</v>
      </c>
      <c r="CA159" s="160">
        <v>0</v>
      </c>
      <c r="CB159" s="145">
        <f t="shared" si="98"/>
        <v>0</v>
      </c>
      <c r="CC159" s="146"/>
      <c r="CD159" s="151">
        <f t="shared" si="99"/>
        <v>0</v>
      </c>
      <c r="CE159" s="161" t="s">
        <v>120</v>
      </c>
      <c r="CF159" s="162" t="s">
        <v>120</v>
      </c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</row>
    <row r="160" spans="1:256" ht="12.3">
      <c r="A160" s="128" t="s">
        <v>136</v>
      </c>
      <c r="B160" s="129">
        <v>3930</v>
      </c>
      <c r="C160" s="129">
        <v>12630</v>
      </c>
      <c r="D160" s="129"/>
      <c r="E160" s="129"/>
      <c r="F160" s="130"/>
      <c r="G160" s="131" t="s">
        <v>119</v>
      </c>
      <c r="H160" s="131" t="s">
        <v>120</v>
      </c>
      <c r="I160" s="131" t="s">
        <v>120</v>
      </c>
      <c r="J160" s="131" t="s">
        <v>137</v>
      </c>
      <c r="K160" s="131" t="s">
        <v>138</v>
      </c>
      <c r="L160" s="177">
        <v>9</v>
      </c>
      <c r="M160" s="131" t="str">
        <f>_xlfn.XLOOKUP(L160,[1]Auslegungsgrundlagen!$A$9:$A$100,[1]Auslegungsgrundlagen!$B$9:$B$100)</f>
        <v>ELT-Zentrale</v>
      </c>
      <c r="N160" s="132">
        <v>10</v>
      </c>
      <c r="O160" s="132">
        <v>35.1</v>
      </c>
      <c r="P160" s="133">
        <v>0</v>
      </c>
      <c r="Q160" s="134"/>
      <c r="R160" s="135">
        <f>_xlfn.XLOOKUP(L160,[1]Auslegungsgrundlagen!$A$9:$A$100,[1]Auslegungsgrundlagen!$M$9:$M$100)</f>
        <v>0</v>
      </c>
      <c r="S160" s="136">
        <f>_xlfn.XLOOKUP(L160,[1]Auslegungsgrundlagen!$A$9:$A$100,[1]Auslegungsgrundlagen!$Q$9:$Q$100)*P160</f>
        <v>0</v>
      </c>
      <c r="T160" s="137">
        <v>0</v>
      </c>
      <c r="U160" s="137">
        <v>0</v>
      </c>
      <c r="V160" s="138">
        <v>0</v>
      </c>
      <c r="W160" s="139">
        <f t="shared" si="85"/>
        <v>0</v>
      </c>
      <c r="X160" s="140"/>
      <c r="Y160" s="137"/>
      <c r="Z160" s="141">
        <v>0</v>
      </c>
      <c r="AA160" s="142">
        <f t="shared" si="86"/>
        <v>0</v>
      </c>
      <c r="AB160" s="140" t="s">
        <v>120</v>
      </c>
      <c r="AC160" s="143" t="s">
        <v>120</v>
      </c>
      <c r="AD160" s="144">
        <v>0</v>
      </c>
      <c r="AE160" s="145">
        <f t="shared" si="87"/>
        <v>0</v>
      </c>
      <c r="AF160" s="146"/>
      <c r="AG160" s="140" t="s">
        <v>120</v>
      </c>
      <c r="AH160" s="143" t="s">
        <v>120</v>
      </c>
      <c r="AI160" s="144">
        <v>0</v>
      </c>
      <c r="AJ160" s="145">
        <f t="shared" si="88"/>
        <v>0</v>
      </c>
      <c r="AK160" s="146"/>
      <c r="AL160" s="147">
        <f t="shared" si="89"/>
        <v>0</v>
      </c>
      <c r="AM160" s="140" t="s">
        <v>120</v>
      </c>
      <c r="AN160" s="143" t="s">
        <v>120</v>
      </c>
      <c r="AO160" s="144">
        <v>0</v>
      </c>
      <c r="AP160" s="148">
        <v>0</v>
      </c>
      <c r="AQ160" s="142">
        <f t="shared" si="90"/>
        <v>0</v>
      </c>
      <c r="AR160" s="140" t="s">
        <v>120</v>
      </c>
      <c r="AS160" s="143" t="s">
        <v>120</v>
      </c>
      <c r="AT160" s="144">
        <v>0</v>
      </c>
      <c r="AU160" s="149">
        <v>0</v>
      </c>
      <c r="AV160" s="145">
        <f t="shared" si="91"/>
        <v>0</v>
      </c>
      <c r="AW160" s="146"/>
      <c r="AX160" s="140" t="s">
        <v>120</v>
      </c>
      <c r="AY160" s="143" t="s">
        <v>120</v>
      </c>
      <c r="AZ160" s="144">
        <v>0</v>
      </c>
      <c r="BA160" s="149">
        <v>0</v>
      </c>
      <c r="BB160" s="145">
        <f t="shared" si="92"/>
        <v>0</v>
      </c>
      <c r="BC160" s="150"/>
      <c r="BD160" s="151">
        <f t="shared" si="93"/>
        <v>0</v>
      </c>
      <c r="BE160" s="152">
        <f t="shared" si="94"/>
        <v>0</v>
      </c>
      <c r="BF160" s="140" t="s">
        <v>120</v>
      </c>
      <c r="BG160" s="153" t="s">
        <v>120</v>
      </c>
      <c r="BH160" s="154" t="s">
        <v>120</v>
      </c>
      <c r="BI160" s="155" t="s">
        <v>120</v>
      </c>
      <c r="BJ160" s="156" t="s">
        <v>120</v>
      </c>
      <c r="BK160" s="157"/>
      <c r="BL160" s="158">
        <f>_xlfn.XLOOKUP(L160,[1]Auslegungsgrundlagen!$A$9:$A$100,[1]Auslegungsgrundlagen!$U$9:$U$100)</f>
        <v>0</v>
      </c>
      <c r="BM160" s="137">
        <v>0</v>
      </c>
      <c r="BN160" s="159">
        <v>0</v>
      </c>
      <c r="BO160" s="152">
        <f t="shared" si="95"/>
        <v>0</v>
      </c>
      <c r="BP160" s="140" t="s">
        <v>120</v>
      </c>
      <c r="BQ160" s="143" t="s">
        <v>120</v>
      </c>
      <c r="BR160" s="160">
        <v>0</v>
      </c>
      <c r="BS160" s="142">
        <f t="shared" si="96"/>
        <v>0</v>
      </c>
      <c r="BT160" s="140" t="s">
        <v>120</v>
      </c>
      <c r="BU160" s="143" t="s">
        <v>120</v>
      </c>
      <c r="BV160" s="160">
        <v>0</v>
      </c>
      <c r="BW160" s="145">
        <f t="shared" si="97"/>
        <v>0</v>
      </c>
      <c r="BX160" s="146"/>
      <c r="BY160" s="140" t="s">
        <v>120</v>
      </c>
      <c r="BZ160" s="143" t="s">
        <v>120</v>
      </c>
      <c r="CA160" s="160">
        <v>0</v>
      </c>
      <c r="CB160" s="145">
        <f t="shared" si="98"/>
        <v>0</v>
      </c>
      <c r="CC160" s="146"/>
      <c r="CD160" s="151">
        <f t="shared" si="99"/>
        <v>0</v>
      </c>
      <c r="CE160" s="161" t="s">
        <v>120</v>
      </c>
      <c r="CF160" s="162" t="s">
        <v>120</v>
      </c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</row>
    <row r="161" spans="1:256" ht="12.3">
      <c r="A161" s="128" t="s">
        <v>139</v>
      </c>
      <c r="B161" s="129">
        <v>3930</v>
      </c>
      <c r="C161" s="129">
        <v>16155</v>
      </c>
      <c r="D161" s="129"/>
      <c r="E161" s="129"/>
      <c r="F161" s="130"/>
      <c r="G161" s="131" t="s">
        <v>119</v>
      </c>
      <c r="H161" s="131" t="s">
        <v>120</v>
      </c>
      <c r="I161" s="131" t="s">
        <v>120</v>
      </c>
      <c r="J161" s="131" t="s">
        <v>140</v>
      </c>
      <c r="K161" s="131" t="s">
        <v>141</v>
      </c>
      <c r="L161" s="177">
        <v>9</v>
      </c>
      <c r="M161" s="131" t="str">
        <f>_xlfn.XLOOKUP(L161,[1]Auslegungsgrundlagen!$A$9:$A$100,[1]Auslegungsgrundlagen!$B$9:$B$100)</f>
        <v>ELT-Zentrale</v>
      </c>
      <c r="N161" s="132">
        <v>16</v>
      </c>
      <c r="O161" s="132">
        <v>59.84</v>
      </c>
      <c r="P161" s="133">
        <v>0</v>
      </c>
      <c r="Q161" s="134"/>
      <c r="R161" s="135">
        <f>_xlfn.XLOOKUP(L161,[1]Auslegungsgrundlagen!$A$9:$A$100,[1]Auslegungsgrundlagen!$M$9:$M$100)</f>
        <v>0</v>
      </c>
      <c r="S161" s="136">
        <f>_xlfn.XLOOKUP(L161,[1]Auslegungsgrundlagen!$A$9:$A$100,[1]Auslegungsgrundlagen!$Q$9:$Q$100)*P161</f>
        <v>0</v>
      </c>
      <c r="T161" s="137">
        <v>0</v>
      </c>
      <c r="U161" s="137">
        <v>0</v>
      </c>
      <c r="V161" s="138">
        <v>0</v>
      </c>
      <c r="W161" s="139">
        <f t="shared" si="85"/>
        <v>0</v>
      </c>
      <c r="X161" s="140"/>
      <c r="Y161" s="137"/>
      <c r="Z161" s="141"/>
      <c r="AA161" s="142">
        <f t="shared" si="86"/>
        <v>0</v>
      </c>
      <c r="AB161" s="140" t="s">
        <v>120</v>
      </c>
      <c r="AC161" s="143" t="s">
        <v>120</v>
      </c>
      <c r="AD161" s="144">
        <v>0</v>
      </c>
      <c r="AE161" s="145">
        <f t="shared" si="87"/>
        <v>0</v>
      </c>
      <c r="AF161" s="146"/>
      <c r="AG161" s="140" t="s">
        <v>120</v>
      </c>
      <c r="AH161" s="143" t="s">
        <v>120</v>
      </c>
      <c r="AI161" s="144">
        <v>0</v>
      </c>
      <c r="AJ161" s="145">
        <f t="shared" si="88"/>
        <v>0</v>
      </c>
      <c r="AK161" s="146"/>
      <c r="AL161" s="147">
        <f t="shared" si="89"/>
        <v>0</v>
      </c>
      <c r="AM161" s="140" t="s">
        <v>120</v>
      </c>
      <c r="AN161" s="143" t="s">
        <v>120</v>
      </c>
      <c r="AO161" s="144">
        <v>0</v>
      </c>
      <c r="AP161" s="148">
        <v>0</v>
      </c>
      <c r="AQ161" s="142">
        <f t="shared" si="90"/>
        <v>0</v>
      </c>
      <c r="AR161" s="140" t="s">
        <v>120</v>
      </c>
      <c r="AS161" s="143" t="s">
        <v>120</v>
      </c>
      <c r="AT161" s="144">
        <v>0</v>
      </c>
      <c r="AU161" s="149">
        <v>0</v>
      </c>
      <c r="AV161" s="145">
        <f t="shared" si="91"/>
        <v>0</v>
      </c>
      <c r="AW161" s="146"/>
      <c r="AX161" s="140" t="s">
        <v>120</v>
      </c>
      <c r="AY161" s="143" t="s">
        <v>120</v>
      </c>
      <c r="AZ161" s="144">
        <v>0</v>
      </c>
      <c r="BA161" s="149">
        <v>0</v>
      </c>
      <c r="BB161" s="145">
        <f t="shared" si="92"/>
        <v>0</v>
      </c>
      <c r="BC161" s="150"/>
      <c r="BD161" s="151">
        <f t="shared" si="93"/>
        <v>0</v>
      </c>
      <c r="BE161" s="152">
        <f t="shared" si="94"/>
        <v>0</v>
      </c>
      <c r="BF161" s="140" t="s">
        <v>120</v>
      </c>
      <c r="BG161" s="153" t="s">
        <v>120</v>
      </c>
      <c r="BH161" s="154" t="s">
        <v>120</v>
      </c>
      <c r="BI161" s="155" t="s">
        <v>120</v>
      </c>
      <c r="BJ161" s="156" t="s">
        <v>120</v>
      </c>
      <c r="BK161" s="157"/>
      <c r="BL161" s="158">
        <f>_xlfn.XLOOKUP(L161,[1]Auslegungsgrundlagen!$A$9:$A$100,[1]Auslegungsgrundlagen!$U$9:$U$100)</f>
        <v>0</v>
      </c>
      <c r="BM161" s="137">
        <v>0</v>
      </c>
      <c r="BN161" s="159">
        <v>0</v>
      </c>
      <c r="BO161" s="152">
        <f t="shared" si="95"/>
        <v>0</v>
      </c>
      <c r="BP161" s="140" t="s">
        <v>120</v>
      </c>
      <c r="BQ161" s="143" t="s">
        <v>120</v>
      </c>
      <c r="BR161" s="160">
        <v>0</v>
      </c>
      <c r="BS161" s="142">
        <f t="shared" si="96"/>
        <v>0</v>
      </c>
      <c r="BT161" s="140" t="s">
        <v>120</v>
      </c>
      <c r="BU161" s="143" t="s">
        <v>120</v>
      </c>
      <c r="BV161" s="160">
        <v>0</v>
      </c>
      <c r="BW161" s="145">
        <f t="shared" si="97"/>
        <v>0</v>
      </c>
      <c r="BX161" s="146"/>
      <c r="BY161" s="140" t="s">
        <v>120</v>
      </c>
      <c r="BZ161" s="143" t="s">
        <v>120</v>
      </c>
      <c r="CA161" s="160">
        <v>0</v>
      </c>
      <c r="CB161" s="145">
        <f t="shared" si="98"/>
        <v>0</v>
      </c>
      <c r="CC161" s="146"/>
      <c r="CD161" s="151">
        <f t="shared" si="99"/>
        <v>0</v>
      </c>
      <c r="CE161" s="161" t="s">
        <v>120</v>
      </c>
      <c r="CF161" s="162" t="s">
        <v>120</v>
      </c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</row>
    <row r="162" spans="1:256" ht="12.3">
      <c r="A162" s="128" t="s">
        <v>142</v>
      </c>
      <c r="B162" s="129">
        <v>3930</v>
      </c>
      <c r="C162" s="129">
        <v>13230</v>
      </c>
      <c r="D162" s="129"/>
      <c r="E162" s="129"/>
      <c r="F162" s="130"/>
      <c r="G162" s="131" t="s">
        <v>119</v>
      </c>
      <c r="H162" s="131" t="s">
        <v>120</v>
      </c>
      <c r="I162" s="131" t="s">
        <v>120</v>
      </c>
      <c r="J162" s="131" t="s">
        <v>143</v>
      </c>
      <c r="K162" s="131" t="s">
        <v>144</v>
      </c>
      <c r="L162" s="177">
        <v>9</v>
      </c>
      <c r="M162" s="131" t="str">
        <f>_xlfn.XLOOKUP(L162,[1]Auslegungsgrundlagen!$A$9:$A$100,[1]Auslegungsgrundlagen!$B$9:$B$100)</f>
        <v>ELT-Zentrale</v>
      </c>
      <c r="N162" s="132">
        <v>11</v>
      </c>
      <c r="O162" s="132">
        <v>39.31</v>
      </c>
      <c r="P162" s="133">
        <v>0</v>
      </c>
      <c r="Q162" s="134"/>
      <c r="R162" s="135">
        <f>_xlfn.XLOOKUP(L162,[1]Auslegungsgrundlagen!$A$9:$A$100,[1]Auslegungsgrundlagen!$M$9:$M$100)</f>
        <v>0</v>
      </c>
      <c r="S162" s="136">
        <f>_xlfn.XLOOKUP(L162,[1]Auslegungsgrundlagen!$A$9:$A$100,[1]Auslegungsgrundlagen!$Q$9:$Q$100)*P162</f>
        <v>0</v>
      </c>
      <c r="T162" s="137">
        <v>0</v>
      </c>
      <c r="U162" s="137">
        <v>0</v>
      </c>
      <c r="V162" s="138">
        <v>0</v>
      </c>
      <c r="W162" s="139">
        <f t="shared" si="85"/>
        <v>0</v>
      </c>
      <c r="X162" s="140"/>
      <c r="Y162" s="137"/>
      <c r="Z162" s="141"/>
      <c r="AA162" s="142">
        <f t="shared" si="86"/>
        <v>0</v>
      </c>
      <c r="AB162" s="140" t="s">
        <v>120</v>
      </c>
      <c r="AC162" s="143" t="s">
        <v>120</v>
      </c>
      <c r="AD162" s="144">
        <v>0</v>
      </c>
      <c r="AE162" s="145">
        <f t="shared" si="87"/>
        <v>0</v>
      </c>
      <c r="AF162" s="146"/>
      <c r="AG162" s="140" t="s">
        <v>120</v>
      </c>
      <c r="AH162" s="143" t="s">
        <v>120</v>
      </c>
      <c r="AI162" s="144">
        <v>0</v>
      </c>
      <c r="AJ162" s="145">
        <f t="shared" si="88"/>
        <v>0</v>
      </c>
      <c r="AK162" s="146"/>
      <c r="AL162" s="147">
        <f t="shared" si="89"/>
        <v>0</v>
      </c>
      <c r="AM162" s="140" t="s">
        <v>120</v>
      </c>
      <c r="AN162" s="143" t="s">
        <v>120</v>
      </c>
      <c r="AO162" s="144">
        <v>0</v>
      </c>
      <c r="AP162" s="148">
        <v>0</v>
      </c>
      <c r="AQ162" s="142">
        <f t="shared" si="90"/>
        <v>0</v>
      </c>
      <c r="AR162" s="140" t="s">
        <v>120</v>
      </c>
      <c r="AS162" s="143" t="s">
        <v>120</v>
      </c>
      <c r="AT162" s="144">
        <v>0</v>
      </c>
      <c r="AU162" s="149">
        <v>0</v>
      </c>
      <c r="AV162" s="145">
        <f t="shared" si="91"/>
        <v>0</v>
      </c>
      <c r="AW162" s="146"/>
      <c r="AX162" s="140" t="s">
        <v>120</v>
      </c>
      <c r="AY162" s="143" t="s">
        <v>120</v>
      </c>
      <c r="AZ162" s="144">
        <v>0</v>
      </c>
      <c r="BA162" s="149">
        <v>0</v>
      </c>
      <c r="BB162" s="145">
        <f t="shared" si="92"/>
        <v>0</v>
      </c>
      <c r="BC162" s="150"/>
      <c r="BD162" s="151">
        <f t="shared" si="93"/>
        <v>0</v>
      </c>
      <c r="BE162" s="152">
        <f t="shared" si="94"/>
        <v>0</v>
      </c>
      <c r="BF162" s="140" t="s">
        <v>120</v>
      </c>
      <c r="BG162" s="153" t="s">
        <v>120</v>
      </c>
      <c r="BH162" s="154" t="s">
        <v>120</v>
      </c>
      <c r="BI162" s="155" t="s">
        <v>120</v>
      </c>
      <c r="BJ162" s="156" t="s">
        <v>120</v>
      </c>
      <c r="BK162" s="157"/>
      <c r="BL162" s="158">
        <f>_xlfn.XLOOKUP(L162,[1]Auslegungsgrundlagen!$A$9:$A$100,[1]Auslegungsgrundlagen!$U$9:$U$100)</f>
        <v>0</v>
      </c>
      <c r="BM162" s="137">
        <v>0</v>
      </c>
      <c r="BN162" s="159">
        <v>0</v>
      </c>
      <c r="BO162" s="152">
        <f t="shared" si="95"/>
        <v>0</v>
      </c>
      <c r="BP162" s="140" t="s">
        <v>120</v>
      </c>
      <c r="BQ162" s="143" t="s">
        <v>120</v>
      </c>
      <c r="BR162" s="160">
        <v>0</v>
      </c>
      <c r="BS162" s="142">
        <f t="shared" si="96"/>
        <v>0</v>
      </c>
      <c r="BT162" s="140" t="s">
        <v>120</v>
      </c>
      <c r="BU162" s="143" t="s">
        <v>120</v>
      </c>
      <c r="BV162" s="160">
        <v>0</v>
      </c>
      <c r="BW162" s="145">
        <f t="shared" si="97"/>
        <v>0</v>
      </c>
      <c r="BX162" s="146"/>
      <c r="BY162" s="140" t="s">
        <v>120</v>
      </c>
      <c r="BZ162" s="143" t="s">
        <v>120</v>
      </c>
      <c r="CA162" s="160">
        <v>0</v>
      </c>
      <c r="CB162" s="145">
        <f t="shared" si="98"/>
        <v>0</v>
      </c>
      <c r="CC162" s="146"/>
      <c r="CD162" s="151">
        <f t="shared" si="99"/>
        <v>0</v>
      </c>
      <c r="CE162" s="161" t="s">
        <v>120</v>
      </c>
      <c r="CF162" s="162" t="s">
        <v>120</v>
      </c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</row>
    <row r="163" spans="1:256" ht="12.3">
      <c r="A163" s="128" t="s">
        <v>145</v>
      </c>
      <c r="B163" s="129">
        <v>3930</v>
      </c>
      <c r="C163" s="129">
        <v>14030</v>
      </c>
      <c r="D163" s="129"/>
      <c r="E163" s="129"/>
      <c r="F163" s="130"/>
      <c r="G163" s="131" t="s">
        <v>119</v>
      </c>
      <c r="H163" s="131" t="s">
        <v>120</v>
      </c>
      <c r="I163" s="131" t="s">
        <v>120</v>
      </c>
      <c r="J163" s="131" t="s">
        <v>146</v>
      </c>
      <c r="K163" s="131" t="s">
        <v>147</v>
      </c>
      <c r="L163" s="177">
        <v>9</v>
      </c>
      <c r="M163" s="131" t="str">
        <f>_xlfn.XLOOKUP(L163,[1]Auslegungsgrundlagen!$A$9:$A$100,[1]Auslegungsgrundlagen!$B$9:$B$100)</f>
        <v>ELT-Zentrale</v>
      </c>
      <c r="N163" s="132">
        <v>12</v>
      </c>
      <c r="O163" s="132">
        <v>44.93</v>
      </c>
      <c r="P163" s="133">
        <v>0</v>
      </c>
      <c r="Q163" s="134"/>
      <c r="R163" s="135">
        <f>_xlfn.XLOOKUP(L163,[1]Auslegungsgrundlagen!$A$9:$A$100,[1]Auslegungsgrundlagen!$M$9:$M$100)</f>
        <v>0</v>
      </c>
      <c r="S163" s="136">
        <f>_xlfn.XLOOKUP(L163,[1]Auslegungsgrundlagen!$A$9:$A$100,[1]Auslegungsgrundlagen!$Q$9:$Q$100)*P163</f>
        <v>0</v>
      </c>
      <c r="T163" s="137">
        <v>6000</v>
      </c>
      <c r="U163" s="137">
        <v>0</v>
      </c>
      <c r="V163" s="138">
        <v>0</v>
      </c>
      <c r="W163" s="139">
        <f t="shared" si="85"/>
        <v>6</v>
      </c>
      <c r="X163" s="140" t="s">
        <v>11</v>
      </c>
      <c r="Y163" s="137">
        <v>6000</v>
      </c>
      <c r="Z163" s="141">
        <v>1</v>
      </c>
      <c r="AA163" s="142">
        <f t="shared" si="86"/>
        <v>6</v>
      </c>
      <c r="AB163" s="140" t="s">
        <v>120</v>
      </c>
      <c r="AC163" s="143" t="s">
        <v>120</v>
      </c>
      <c r="AD163" s="144">
        <v>0</v>
      </c>
      <c r="AE163" s="145">
        <f t="shared" si="87"/>
        <v>0</v>
      </c>
      <c r="AF163" s="146"/>
      <c r="AG163" s="140" t="s">
        <v>120</v>
      </c>
      <c r="AH163" s="143" t="s">
        <v>120</v>
      </c>
      <c r="AI163" s="144">
        <v>0</v>
      </c>
      <c r="AJ163" s="145">
        <f t="shared" si="88"/>
        <v>0</v>
      </c>
      <c r="AK163" s="146"/>
      <c r="AL163" s="147">
        <f t="shared" si="89"/>
        <v>6</v>
      </c>
      <c r="AM163" s="140" t="s">
        <v>120</v>
      </c>
      <c r="AN163" s="143" t="s">
        <v>120</v>
      </c>
      <c r="AO163" s="144">
        <v>0</v>
      </c>
      <c r="AP163" s="148">
        <v>0</v>
      </c>
      <c r="AQ163" s="142">
        <f t="shared" si="90"/>
        <v>0</v>
      </c>
      <c r="AR163" s="140" t="s">
        <v>120</v>
      </c>
      <c r="AS163" s="143" t="s">
        <v>120</v>
      </c>
      <c r="AT163" s="144">
        <v>0</v>
      </c>
      <c r="AU163" s="149">
        <v>0</v>
      </c>
      <c r="AV163" s="145">
        <f t="shared" si="91"/>
        <v>0</v>
      </c>
      <c r="AW163" s="146"/>
      <c r="AX163" s="140" t="s">
        <v>120</v>
      </c>
      <c r="AY163" s="143" t="s">
        <v>120</v>
      </c>
      <c r="AZ163" s="144">
        <v>0</v>
      </c>
      <c r="BA163" s="149">
        <v>0</v>
      </c>
      <c r="BB163" s="145">
        <f t="shared" si="92"/>
        <v>0</v>
      </c>
      <c r="BC163" s="150"/>
      <c r="BD163" s="151">
        <f t="shared" si="93"/>
        <v>0</v>
      </c>
      <c r="BE163" s="152">
        <f t="shared" si="94"/>
        <v>6</v>
      </c>
      <c r="BF163" s="140" t="s">
        <v>120</v>
      </c>
      <c r="BG163" s="153" t="s">
        <v>120</v>
      </c>
      <c r="BH163" s="154" t="s">
        <v>120</v>
      </c>
      <c r="BI163" s="155" t="s">
        <v>120</v>
      </c>
      <c r="BJ163" s="156" t="s">
        <v>120</v>
      </c>
      <c r="BK163" s="157"/>
      <c r="BL163" s="158">
        <f>_xlfn.XLOOKUP(L163,[1]Auslegungsgrundlagen!$A$9:$A$100,[1]Auslegungsgrundlagen!$U$9:$U$100)</f>
        <v>0</v>
      </c>
      <c r="BM163" s="137">
        <v>0</v>
      </c>
      <c r="BN163" s="159">
        <v>0</v>
      </c>
      <c r="BO163" s="152">
        <f t="shared" si="95"/>
        <v>0</v>
      </c>
      <c r="BP163" s="140" t="s">
        <v>120</v>
      </c>
      <c r="BQ163" s="143" t="s">
        <v>120</v>
      </c>
      <c r="BR163" s="160">
        <v>0</v>
      </c>
      <c r="BS163" s="142">
        <f t="shared" si="96"/>
        <v>0</v>
      </c>
      <c r="BT163" s="140" t="s">
        <v>120</v>
      </c>
      <c r="BU163" s="143" t="s">
        <v>120</v>
      </c>
      <c r="BV163" s="160">
        <v>0</v>
      </c>
      <c r="BW163" s="145">
        <f t="shared" si="97"/>
        <v>0</v>
      </c>
      <c r="BX163" s="146"/>
      <c r="BY163" s="140" t="s">
        <v>120</v>
      </c>
      <c r="BZ163" s="143" t="s">
        <v>120</v>
      </c>
      <c r="CA163" s="160">
        <v>0</v>
      </c>
      <c r="CB163" s="145">
        <f t="shared" si="98"/>
        <v>0</v>
      </c>
      <c r="CC163" s="146"/>
      <c r="CD163" s="151">
        <f t="shared" si="99"/>
        <v>0</v>
      </c>
      <c r="CE163" s="161" t="s">
        <v>120</v>
      </c>
      <c r="CF163" s="162" t="s">
        <v>120</v>
      </c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</row>
    <row r="164" spans="1:256" ht="12.3">
      <c r="A164" s="128" t="s">
        <v>148</v>
      </c>
      <c r="B164" s="129">
        <v>3930</v>
      </c>
      <c r="C164" s="129">
        <v>11630</v>
      </c>
      <c r="D164" s="129"/>
      <c r="E164" s="129"/>
      <c r="F164" s="130"/>
      <c r="G164" s="131" t="s">
        <v>119</v>
      </c>
      <c r="H164" s="131" t="s">
        <v>120</v>
      </c>
      <c r="I164" s="131" t="s">
        <v>120</v>
      </c>
      <c r="J164" s="131" t="s">
        <v>149</v>
      </c>
      <c r="K164" s="131" t="s">
        <v>150</v>
      </c>
      <c r="L164" s="177">
        <v>18</v>
      </c>
      <c r="M164" s="131" t="str">
        <f>_xlfn.XLOOKUP(L164,[1]Auslegungsgrundlagen!$A$9:$A$100,[1]Auslegungsgrundlagen!$B$9:$B$100)</f>
        <v>Schächte</v>
      </c>
      <c r="N164" s="132">
        <v>8</v>
      </c>
      <c r="O164" s="132">
        <v>28.08</v>
      </c>
      <c r="P164" s="133">
        <v>0</v>
      </c>
      <c r="Q164" s="134"/>
      <c r="R164" s="135">
        <f>_xlfn.XLOOKUP(L164,[1]Auslegungsgrundlagen!$A$9:$A$100,[1]Auslegungsgrundlagen!$M$9:$M$100)</f>
        <v>0</v>
      </c>
      <c r="S164" s="136">
        <f>_xlfn.XLOOKUP(L164,[1]Auslegungsgrundlagen!$A$9:$A$100,[1]Auslegungsgrundlagen!$Q$9:$Q$100)*P164</f>
        <v>0</v>
      </c>
      <c r="T164" s="137">
        <v>0</v>
      </c>
      <c r="U164" s="137">
        <v>0</v>
      </c>
      <c r="V164" s="138">
        <v>0</v>
      </c>
      <c r="W164" s="139">
        <f t="shared" si="85"/>
        <v>0</v>
      </c>
      <c r="X164" s="140" t="s">
        <v>120</v>
      </c>
      <c r="Y164" s="137" t="s">
        <v>120</v>
      </c>
      <c r="Z164" s="141">
        <v>0</v>
      </c>
      <c r="AA164" s="142">
        <f t="shared" si="86"/>
        <v>0</v>
      </c>
      <c r="AB164" s="140" t="s">
        <v>120</v>
      </c>
      <c r="AC164" s="143" t="s">
        <v>120</v>
      </c>
      <c r="AD164" s="144">
        <v>0</v>
      </c>
      <c r="AE164" s="145">
        <f t="shared" si="87"/>
        <v>0</v>
      </c>
      <c r="AF164" s="146"/>
      <c r="AG164" s="140" t="s">
        <v>120</v>
      </c>
      <c r="AH164" s="143" t="s">
        <v>120</v>
      </c>
      <c r="AI164" s="144">
        <v>0</v>
      </c>
      <c r="AJ164" s="145">
        <f t="shared" si="88"/>
        <v>0</v>
      </c>
      <c r="AK164" s="146"/>
      <c r="AL164" s="147">
        <f t="shared" si="89"/>
        <v>0</v>
      </c>
      <c r="AM164" s="140" t="s">
        <v>120</v>
      </c>
      <c r="AN164" s="143" t="s">
        <v>120</v>
      </c>
      <c r="AO164" s="144">
        <v>0</v>
      </c>
      <c r="AP164" s="148">
        <v>0</v>
      </c>
      <c r="AQ164" s="142">
        <f t="shared" si="90"/>
        <v>0</v>
      </c>
      <c r="AR164" s="140" t="s">
        <v>120</v>
      </c>
      <c r="AS164" s="143" t="s">
        <v>120</v>
      </c>
      <c r="AT164" s="144">
        <v>0</v>
      </c>
      <c r="AU164" s="149">
        <v>0</v>
      </c>
      <c r="AV164" s="145">
        <f t="shared" si="91"/>
        <v>0</v>
      </c>
      <c r="AW164" s="146"/>
      <c r="AX164" s="140" t="s">
        <v>120</v>
      </c>
      <c r="AY164" s="143" t="s">
        <v>120</v>
      </c>
      <c r="AZ164" s="144">
        <v>0</v>
      </c>
      <c r="BA164" s="149">
        <v>0</v>
      </c>
      <c r="BB164" s="145">
        <f t="shared" si="92"/>
        <v>0</v>
      </c>
      <c r="BC164" s="150"/>
      <c r="BD164" s="151">
        <f t="shared" si="93"/>
        <v>0</v>
      </c>
      <c r="BE164" s="152">
        <f t="shared" si="94"/>
        <v>0</v>
      </c>
      <c r="BF164" s="140" t="s">
        <v>120</v>
      </c>
      <c r="BG164" s="153" t="s">
        <v>120</v>
      </c>
      <c r="BH164" s="154" t="s">
        <v>120</v>
      </c>
      <c r="BI164" s="155" t="s">
        <v>120</v>
      </c>
      <c r="BJ164" s="156" t="s">
        <v>120</v>
      </c>
      <c r="BK164" s="157"/>
      <c r="BL164" s="158">
        <f>_xlfn.XLOOKUP(L164,[1]Auslegungsgrundlagen!$A$9:$A$100,[1]Auslegungsgrundlagen!$U$9:$U$100)</f>
        <v>0</v>
      </c>
      <c r="BM164" s="137">
        <v>0</v>
      </c>
      <c r="BN164" s="159">
        <v>0</v>
      </c>
      <c r="BO164" s="152">
        <f t="shared" si="95"/>
        <v>0</v>
      </c>
      <c r="BP164" s="140" t="s">
        <v>120</v>
      </c>
      <c r="BQ164" s="143" t="s">
        <v>120</v>
      </c>
      <c r="BR164" s="160">
        <v>0</v>
      </c>
      <c r="BS164" s="142">
        <f t="shared" si="96"/>
        <v>0</v>
      </c>
      <c r="BT164" s="140" t="s">
        <v>120</v>
      </c>
      <c r="BU164" s="143" t="s">
        <v>120</v>
      </c>
      <c r="BV164" s="160">
        <v>0</v>
      </c>
      <c r="BW164" s="145">
        <f t="shared" si="97"/>
        <v>0</v>
      </c>
      <c r="BX164" s="146"/>
      <c r="BY164" s="140" t="s">
        <v>120</v>
      </c>
      <c r="BZ164" s="143" t="s">
        <v>120</v>
      </c>
      <c r="CA164" s="160">
        <v>0</v>
      </c>
      <c r="CB164" s="145">
        <f t="shared" si="98"/>
        <v>0</v>
      </c>
      <c r="CC164" s="146"/>
      <c r="CD164" s="151">
        <f t="shared" si="99"/>
        <v>0</v>
      </c>
      <c r="CE164" s="161" t="s">
        <v>120</v>
      </c>
      <c r="CF164" s="162" t="s">
        <v>120</v>
      </c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</row>
    <row r="165" spans="1:256" ht="12.3">
      <c r="A165" s="128" t="s">
        <v>154</v>
      </c>
      <c r="B165" s="129">
        <v>3930</v>
      </c>
      <c r="C165" s="129">
        <v>69981</v>
      </c>
      <c r="D165" s="129"/>
      <c r="E165" s="129"/>
      <c r="F165" s="130"/>
      <c r="G165" s="131" t="s">
        <v>119</v>
      </c>
      <c r="H165" s="131" t="s">
        <v>120</v>
      </c>
      <c r="I165" s="131" t="s">
        <v>120</v>
      </c>
      <c r="J165" s="131" t="s">
        <v>155</v>
      </c>
      <c r="K165" s="131" t="s">
        <v>156</v>
      </c>
      <c r="L165" s="177">
        <v>6</v>
      </c>
      <c r="M165" s="131" t="str">
        <f>_xlfn.XLOOKUP(L165,[1]Auslegungsgrundlagen!$A$9:$A$100,[1]Auslegungsgrundlagen!$B$9:$B$100)</f>
        <v>Verkehrsflächen, Flure</v>
      </c>
      <c r="N165" s="132">
        <v>76</v>
      </c>
      <c r="O165" s="132">
        <v>279.49</v>
      </c>
      <c r="P165" s="133">
        <v>0</v>
      </c>
      <c r="Q165" s="134"/>
      <c r="R165" s="135">
        <f>_xlfn.XLOOKUP(L165,[1]Auslegungsgrundlagen!$A$9:$A$100,[1]Auslegungsgrundlagen!$M$9:$M$100)</f>
        <v>0</v>
      </c>
      <c r="S165" s="136">
        <f>_xlfn.XLOOKUP(L165,[1]Auslegungsgrundlagen!$A$9:$A$100,[1]Auslegungsgrundlagen!$Q$9:$Q$100)*P165</f>
        <v>0</v>
      </c>
      <c r="T165" s="137">
        <v>0</v>
      </c>
      <c r="U165" s="137">
        <v>0</v>
      </c>
      <c r="V165" s="138">
        <v>0</v>
      </c>
      <c r="W165" s="139">
        <f t="shared" si="85"/>
        <v>0</v>
      </c>
      <c r="X165" s="140" t="s">
        <v>120</v>
      </c>
      <c r="Y165" s="137" t="s">
        <v>120</v>
      </c>
      <c r="Z165" s="141">
        <v>0</v>
      </c>
      <c r="AA165" s="142">
        <f t="shared" si="86"/>
        <v>0</v>
      </c>
      <c r="AB165" s="140" t="s">
        <v>120</v>
      </c>
      <c r="AC165" s="143" t="s">
        <v>120</v>
      </c>
      <c r="AD165" s="144">
        <v>0</v>
      </c>
      <c r="AE165" s="145">
        <f t="shared" si="87"/>
        <v>0</v>
      </c>
      <c r="AF165" s="146"/>
      <c r="AG165" s="140" t="s">
        <v>120</v>
      </c>
      <c r="AH165" s="143" t="s">
        <v>120</v>
      </c>
      <c r="AI165" s="144">
        <v>0</v>
      </c>
      <c r="AJ165" s="145">
        <f t="shared" si="88"/>
        <v>0</v>
      </c>
      <c r="AK165" s="146"/>
      <c r="AL165" s="147">
        <f t="shared" si="89"/>
        <v>0</v>
      </c>
      <c r="AM165" s="140" t="s">
        <v>120</v>
      </c>
      <c r="AN165" s="143" t="s">
        <v>120</v>
      </c>
      <c r="AO165" s="144">
        <v>0</v>
      </c>
      <c r="AP165" s="148">
        <v>0</v>
      </c>
      <c r="AQ165" s="142">
        <f t="shared" si="90"/>
        <v>0</v>
      </c>
      <c r="AR165" s="140" t="s">
        <v>120</v>
      </c>
      <c r="AS165" s="143" t="s">
        <v>120</v>
      </c>
      <c r="AT165" s="144">
        <v>0</v>
      </c>
      <c r="AU165" s="149">
        <v>0</v>
      </c>
      <c r="AV165" s="145">
        <f t="shared" si="91"/>
        <v>0</v>
      </c>
      <c r="AW165" s="146"/>
      <c r="AX165" s="140" t="s">
        <v>120</v>
      </c>
      <c r="AY165" s="143" t="s">
        <v>120</v>
      </c>
      <c r="AZ165" s="144">
        <v>0</v>
      </c>
      <c r="BA165" s="149">
        <v>0</v>
      </c>
      <c r="BB165" s="145">
        <f t="shared" si="92"/>
        <v>0</v>
      </c>
      <c r="BC165" s="150"/>
      <c r="BD165" s="151">
        <f t="shared" si="93"/>
        <v>0</v>
      </c>
      <c r="BE165" s="152">
        <f t="shared" si="94"/>
        <v>0</v>
      </c>
      <c r="BF165" s="140" t="s">
        <v>120</v>
      </c>
      <c r="BG165" s="153" t="s">
        <v>120</v>
      </c>
      <c r="BH165" s="154" t="s">
        <v>120</v>
      </c>
      <c r="BI165" s="155" t="s">
        <v>120</v>
      </c>
      <c r="BJ165" s="156" t="s">
        <v>120</v>
      </c>
      <c r="BK165" s="157"/>
      <c r="BL165" s="158">
        <f>_xlfn.XLOOKUP(L165,[1]Auslegungsgrundlagen!$A$9:$A$100,[1]Auslegungsgrundlagen!$U$9:$U$100)</f>
        <v>0</v>
      </c>
      <c r="BM165" s="137">
        <v>0</v>
      </c>
      <c r="BN165" s="159">
        <v>0</v>
      </c>
      <c r="BO165" s="152">
        <f t="shared" si="95"/>
        <v>0</v>
      </c>
      <c r="BP165" s="140" t="s">
        <v>120</v>
      </c>
      <c r="BQ165" s="143" t="s">
        <v>120</v>
      </c>
      <c r="BR165" s="160">
        <v>0</v>
      </c>
      <c r="BS165" s="142">
        <f t="shared" si="96"/>
        <v>0</v>
      </c>
      <c r="BT165" s="140" t="s">
        <v>120</v>
      </c>
      <c r="BU165" s="143" t="s">
        <v>120</v>
      </c>
      <c r="BV165" s="160">
        <v>0</v>
      </c>
      <c r="BW165" s="145">
        <f t="shared" si="97"/>
        <v>0</v>
      </c>
      <c r="BX165" s="146"/>
      <c r="BY165" s="140" t="s">
        <v>120</v>
      </c>
      <c r="BZ165" s="143" t="s">
        <v>120</v>
      </c>
      <c r="CA165" s="160">
        <v>0</v>
      </c>
      <c r="CB165" s="145">
        <f t="shared" si="98"/>
        <v>0</v>
      </c>
      <c r="CC165" s="146"/>
      <c r="CD165" s="151">
        <f t="shared" si="99"/>
        <v>0</v>
      </c>
      <c r="CE165" s="161" t="s">
        <v>120</v>
      </c>
      <c r="CF165" s="162" t="s">
        <v>120</v>
      </c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</row>
    <row r="166" spans="1:256" ht="12.6" customHeight="1" thickBot="1">
      <c r="A166" s="126" t="s">
        <v>1</v>
      </c>
    </row>
    <row r="167" spans="1:256" ht="20.100000000000001" customHeight="1" thickBot="1">
      <c r="A167" s="127" t="s">
        <v>480</v>
      </c>
      <c r="B167" s="127"/>
      <c r="C167" s="127"/>
      <c r="D167" s="127"/>
      <c r="E167" s="163"/>
      <c r="F167" s="164"/>
      <c r="G167" s="165"/>
      <c r="H167" s="165"/>
      <c r="I167" s="165"/>
      <c r="J167" s="165"/>
      <c r="K167" s="166"/>
      <c r="L167" s="165"/>
      <c r="M167" s="165"/>
      <c r="N167" s="167"/>
      <c r="O167" s="168"/>
      <c r="P167" s="169"/>
      <c r="Q167" s="170"/>
      <c r="R167" s="169"/>
      <c r="S167" s="169"/>
      <c r="T167" s="169"/>
      <c r="U167" s="171"/>
      <c r="V167" s="171"/>
      <c r="W167" s="172"/>
      <c r="X167" s="169"/>
      <c r="Y167" s="169"/>
      <c r="Z167" s="169"/>
      <c r="AA167" s="172"/>
      <c r="AB167" s="169"/>
      <c r="AC167" s="169"/>
      <c r="AD167" s="169"/>
      <c r="AE167" s="172"/>
      <c r="AF167" s="172"/>
      <c r="AG167" s="169"/>
      <c r="AH167" s="169"/>
      <c r="AI167" s="169"/>
      <c r="AJ167" s="172"/>
      <c r="AK167" s="172"/>
      <c r="AL167" s="172"/>
      <c r="AM167" s="169"/>
      <c r="AN167" s="169"/>
      <c r="AO167" s="169"/>
      <c r="AP167" s="169"/>
      <c r="AQ167" s="172"/>
      <c r="AR167" s="169"/>
      <c r="AS167" s="169"/>
      <c r="AT167" s="169"/>
      <c r="AU167" s="169"/>
      <c r="AV167" s="172"/>
      <c r="AW167" s="172"/>
      <c r="AX167" s="169"/>
      <c r="AY167" s="169"/>
      <c r="AZ167" s="169"/>
      <c r="BA167" s="169"/>
      <c r="BB167" s="172"/>
      <c r="BC167" s="172"/>
      <c r="BD167" s="172"/>
      <c r="BE167" s="172"/>
      <c r="BF167" s="169"/>
      <c r="BG167" s="169"/>
      <c r="BH167" s="172"/>
      <c r="BI167" s="172"/>
      <c r="BJ167" s="172"/>
      <c r="BK167" s="170"/>
      <c r="BL167" s="169"/>
      <c r="BM167" s="169"/>
      <c r="BN167" s="171"/>
      <c r="BO167" s="172"/>
      <c r="BP167" s="169"/>
      <c r="BQ167" s="169"/>
      <c r="BR167" s="169"/>
      <c r="BS167" s="172"/>
      <c r="BT167" s="169"/>
      <c r="BU167" s="169"/>
      <c r="BV167" s="169"/>
      <c r="BW167" s="172"/>
      <c r="BX167" s="172"/>
      <c r="BY167" s="169"/>
      <c r="BZ167" s="169"/>
      <c r="CA167" s="169"/>
      <c r="CB167" s="172"/>
      <c r="CC167" s="172"/>
      <c r="CD167" s="172"/>
      <c r="CE167" s="169"/>
      <c r="CF167" s="173"/>
    </row>
  </sheetData>
  <sheetProtection sort="0"/>
  <autoFilter ref="A10:IV167" xr:uid="{00000000-0001-0000-0000-000000000000}">
    <filterColumn colId="30" showButton="0"/>
    <filterColumn colId="35" showButton="0"/>
    <filterColumn colId="47" showButton="0"/>
    <filterColumn colId="53" showButton="0"/>
    <filterColumn colId="74" showButton="0"/>
    <filterColumn colId="79" showButton="0"/>
  </autoFilter>
  <sortState xmlns:xlrd2="http://schemas.microsoft.com/office/spreadsheetml/2017/richdata2" ref="A11:IV165">
    <sortCondition ref="F11"/>
  </sortState>
  <customSheetViews>
    <customSheetView guid="{83598942-3A9A-48BB-840C-3FD13937AF37}" showGridLines="0" hiddenRows="1" hiddenColumns="1" topLeftCell="F2">
      <pane xSplit="8" ySplit="8" topLeftCell="Q10" activePane="bottomRight" state="frozen"/>
      <selection pane="bottomRight" activeCell="O2" sqref="O1:Z1048576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1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  <customSheetView guid="{DC1D0405-4B07-4376-A2B5-EA2DDAEC4BD3}" showGridLines="0" hiddenRows="1" hiddenColumns="1" topLeftCell="F2">
      <pane xSplit="8" ySplit="8" topLeftCell="V10" activePane="bottomRight" state="frozen"/>
      <selection pane="bottomRight" activeCell="AA2" sqref="AA1:DR1048576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2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  <customSheetView guid="{E3882396-F9F8-4BE8-BE00-F51F5CAE56A5}" showGridLines="0" hiddenRows="1" hiddenColumns="1" topLeftCell="F2">
      <pane xSplit="8" ySplit="8" topLeftCell="V10" activePane="bottomRight" state="frozen"/>
      <selection pane="bottomRight" activeCell="O2" sqref="O1:Z1048576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3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  <customSheetView guid="{17935C52-163E-4003-8A87-4231881FB421}" showGridLines="0" hiddenRows="1" hiddenColumns="1" topLeftCell="F2">
      <pane xSplit="8" ySplit="8" topLeftCell="FK10" activePane="bottomRight" state="frozen"/>
      <selection pane="bottomRight" activeCell="FQ2" sqref="FQ1:FQ1048576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4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  <customSheetView guid="{FEDAFEB2-29AF-4DF7-A8C2-EC6DA04E0BC1}" showGridLines="0" hiddenRows="1" hiddenColumns="1" topLeftCell="F2">
      <pane xSplit="8" ySplit="8" topLeftCell="AA10" activePane="bottomRight" state="frozen"/>
      <selection pane="bottomRight" activeCell="DR2" sqref="DR1:FQ1048576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5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  <customSheetView guid="{41AC631B-62CE-4886-A92B-7301C63FA8E9}" showGridLines="0" hiddenRows="1" hiddenColumns="1" topLeftCell="F2">
      <pane xSplit="8" ySplit="8" topLeftCell="DH10" activePane="bottomRight" state="frozen"/>
      <selection pane="bottomRight" activeCell="DR2" sqref="DR1:FQ1048576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6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  <customSheetView guid="{058C8B9A-E41E-4C05-B942-E84DA0A96CF6}" showGridLines="0" hiddenRows="1" hiddenColumns="1" topLeftCell="F2">
      <pane xSplit="8" ySplit="8" topLeftCell="N10" activePane="bottomRight" state="frozen"/>
      <selection pane="bottomRight" activeCell="N10" sqref="N10"/>
      <pageMargins left="0.59055118110236227" right="0.59055118110236227" top="1.5748031496062993" bottom="0.59055118110236227" header="0.59055118110236227" footer="0.39370078740157483"/>
      <pageSetup paperSize="8" scale="55" fitToHeight="100" pageOrder="overThenDown" orientation="landscape" horizontalDpi="300" verticalDpi="300" r:id="rId7"/>
      <headerFooter scaleWithDoc="0">
        <oddHeader>&amp;L&amp;"Calibri,Fett"&amp;11Bauherr / Projekt
modellbasierte Leistungsermittlung mit Raumtypen
RLT/KLT/HZG&amp;R&amp;G</oddHeader>
        <oddFooter>&amp;L&amp;"Calibri,Standard"&amp;8&amp;F&amp;R&amp;"Calibri,Standard"&amp;8Seite &amp;P von &amp;N</oddFooter>
      </headerFooter>
    </customSheetView>
  </customSheetViews>
  <mergeCells count="19">
    <mergeCell ref="AB6:AE6"/>
    <mergeCell ref="BT6:BW6"/>
    <mergeCell ref="BP6:BS6"/>
    <mergeCell ref="R5:BJ5"/>
    <mergeCell ref="Q5:Q8"/>
    <mergeCell ref="AM6:AQ6"/>
    <mergeCell ref="X6:AA6"/>
    <mergeCell ref="BL5:CF5"/>
    <mergeCell ref="BK5:BK8"/>
    <mergeCell ref="BY6:CB6"/>
    <mergeCell ref="AR6:AV6"/>
    <mergeCell ref="AX6:BB6"/>
    <mergeCell ref="AG6:AJ6"/>
    <mergeCell ref="CB10:CC10"/>
    <mergeCell ref="BW10:BX10"/>
    <mergeCell ref="AJ10:AK10"/>
    <mergeCell ref="AE10:AF10"/>
    <mergeCell ref="BB10:BC10"/>
    <mergeCell ref="AV10:AW10"/>
  </mergeCells>
  <pageMargins left="0.59055118110236227" right="0.59055118110236227" top="1.5748031496062993" bottom="0.59055118110236227" header="0.59055118110236227" footer="0.39370078740157483"/>
  <pageSetup paperSize="8" scale="55" fitToHeight="100" pageOrder="overThenDown" orientation="landscape" horizontalDpi="300" verticalDpi="300" r:id="rId8"/>
  <headerFooter scaleWithDoc="0">
    <oddHeader>&amp;L&amp;"Calibri,Fett"&amp;11Bauherr / Projekt
modellbasierte Leistungsermittlung mit Raumtypen
RLT/KLT/HZG&amp;R&amp;G</oddHeader>
    <oddFooter>&amp;L&amp;"Calibri,Standard"&amp;8&amp;F&amp;R&amp;"Calibri,Standard"&amp;8Seite &amp;P von &amp;N</oddFooter>
  </headerFooter>
  <legacyDrawing r:id="rId9"/>
  <legacyDrawingHF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61F93-0F8D-4B69-BB17-F98323CE432A}">
  <dimension ref="F26"/>
  <sheetViews>
    <sheetView workbookViewId="0">
      <selection activeCell="F26" sqref="F26"/>
    </sheetView>
  </sheetViews>
  <sheetFormatPr baseColWidth="10" defaultRowHeight="12.3"/>
  <sheetData>
    <row r="26" spans="6:6">
      <c r="F26" t="s">
        <v>483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40e19fbc-5970-46c6-8280-26e82d15af25}" enabled="1" method="Privileged" siteId="{376e33ca-d656-4e46-8bcb-7d5ba898ae6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Leistungsermittlung KLT_HZG</vt:lpstr>
      <vt:lpstr>Tabelle1</vt:lpstr>
      <vt:lpstr>'Leistungsermittlung KLT_HZG'!Druckbereich</vt:lpstr>
      <vt:lpstr>'Leistungsermittlung KLT_HZG'!Drucktitel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Yao Yuan, Assmann Beraten + Planen</dc:creator>
  <cp:lastModifiedBy>Adelberger Manuela, Assmann Beraten + Planen</cp:lastModifiedBy>
  <cp:lastPrinted>2024-05-15T13:01:45Z</cp:lastPrinted>
  <dcterms:created xsi:type="dcterms:W3CDTF">2005-04-27T14:31:21Z</dcterms:created>
  <dcterms:modified xsi:type="dcterms:W3CDTF">2025-10-18T10:28:01Z</dcterms:modified>
</cp:coreProperties>
</file>